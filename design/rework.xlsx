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Decisions" sheetId="2" state="visible" r:id="rId2"/>
    <sheet xmlns:r="http://schemas.openxmlformats.org/officeDocument/2006/relationships" name="0 Ground rules" sheetId="3" state="visible" r:id="rId3"/>
    <sheet xmlns:r="http://schemas.openxmlformats.org/officeDocument/2006/relationships" name="0 Knowledge" sheetId="4" state="visible" r:id="rId4"/>
    <sheet xmlns:r="http://schemas.openxmlformats.org/officeDocument/2006/relationships" name="0 Stages" sheetId="5" state="visible" r:id="rId5"/>
    <sheet xmlns:r="http://schemas.openxmlformats.org/officeDocument/2006/relationships" name="1 Basic lines" sheetId="6" state="visible" r:id="rId6"/>
    <sheet xmlns:r="http://schemas.openxmlformats.org/officeDocument/2006/relationships" name="1 Budget check" sheetId="7" state="visible" r:id="rId7"/>
    <sheet xmlns:r="http://schemas.openxmlformats.org/officeDocument/2006/relationships" name="1 Goods coverage" sheetId="8" state="visible" r:id="rId8"/>
    <sheet xmlns:r="http://schemas.openxmlformats.org/officeDocument/2006/relationships" name="2 Housing" sheetId="9" state="visible" r:id="rId9"/>
    <sheet xmlns:r="http://schemas.openxmlformats.org/officeDocument/2006/relationships" name="2 Civic" sheetId="10" state="visible" r:id="rId10"/>
    <sheet xmlns:r="http://schemas.openxmlformats.org/officeDocument/2006/relationships" name="2 Costs" sheetId="11" state="visible" r:id="rId11"/>
    <sheet xmlns:r="http://schemas.openxmlformats.org/officeDocument/2006/relationships" name="2 Upkeep" sheetId="12" state="visible" r:id="rId12"/>
    <sheet xmlns:r="http://schemas.openxmlformats.org/officeDocument/2006/relationships" name="Crew audit" sheetId="13" state="visible" r:id="rId13"/>
    <sheet xmlns:r="http://schemas.openxmlformats.org/officeDocument/2006/relationships" name="3 Mixed &amp; late" sheetId="14" state="visible" r:id="rId14"/>
    <sheet xmlns:r="http://schemas.openxmlformats.org/officeDocument/2006/relationships" name="3 Goods map" sheetId="15" state="visible" r:id="rId15"/>
    <sheet xmlns:r="http://schemas.openxmlformats.org/officeDocument/2006/relationships" name="4 Mechanics" sheetId="16" state="visible" r:id="rId16"/>
    <sheet xmlns:r="http://schemas.openxmlformats.org/officeDocument/2006/relationships" name="4 Depth" sheetId="17" state="visible" r:id="rId17"/>
    <sheet xmlns:r="http://schemas.openxmlformats.org/officeDocument/2006/relationships" name="2 Questions" sheetId="18" state="visible" r:id="rId18"/>
    <sheet xmlns:r="http://schemas.openxmlformats.org/officeDocument/2006/relationships" name="2 Questions (round 2)" sheetId="19" state="visible" r:id="rId19"/>
    <sheet xmlns:r="http://schemas.openxmlformats.org/officeDocument/2006/relationships" name="3 Questions" sheetId="20" state="visible" r:id="rId20"/>
    <sheet xmlns:r="http://schemas.openxmlformats.org/officeDocument/2006/relationships" name="4 Questions" sheetId="21" state="visible" r:id="rId21"/>
    <sheet xmlns:r="http://schemas.openxmlformats.org/officeDocument/2006/relationships" name="5 Manor" sheetId="22" state="visible" r:id="rId22"/>
    <sheet xmlns:r="http://schemas.openxmlformats.org/officeDocument/2006/relationships" name="5 Lordship" sheetId="23" state="visible" r:id="rId23"/>
    <sheet xmlns:r="http://schemas.openxmlformats.org/officeDocument/2006/relationships" name="5 Great Works" sheetId="24" state="visible" r:id="rId24"/>
    <sheet xmlns:r="http://schemas.openxmlformats.org/officeDocument/2006/relationships" name="5 Questions" sheetId="25" state="visible" r:id="rId25"/>
    <sheet xmlns:r="http://schemas.openxmlformats.org/officeDocument/2006/relationships" name="6 Charters" sheetId="26" state="visible" r:id="rId26"/>
    <sheet xmlns:r="http://schemas.openxmlformats.org/officeDocument/2006/relationships" name="6 Charter costs" sheetId="27" state="visible" r:id="rId27"/>
    <sheet xmlns:r="http://schemas.openxmlformats.org/officeDocument/2006/relationships" name="6 Questions" sheetId="28" state="visible" r:id="rId28"/>
    <sheet xmlns:r="http://schemas.openxmlformats.org/officeDocument/2006/relationships" name="7 Learning panel" sheetId="29" state="visible" r:id="rId29"/>
    <sheet xmlns:r="http://schemas.openxmlformats.org/officeDocument/2006/relationships" name="7 City projects" sheetId="30" state="visible" r:id="rId30"/>
    <sheet xmlns:r="http://schemas.openxmlformats.org/officeDocument/2006/relationships" name="7 Questions" sheetId="31" state="visible" r:id="rId31"/>
    <sheet xmlns:r="http://schemas.openxmlformats.org/officeDocument/2006/relationships" name="Questions" sheetId="32" state="visible" r:id="rId32"/>
  </sheets>
  <definedNames/>
  <calcPr calcId="124519" fullCalcOnLoad="1"/>
</workbook>
</file>

<file path=xl/styles.xml><?xml version="1.0" encoding="utf-8"?>
<styleSheet xmlns="http://schemas.openxmlformats.org/spreadsheetml/2006/main">
  <numFmts count="1">
    <numFmt numFmtId="164" formatCode="0.0"/>
  </numFmts>
  <fonts count="11">
    <font>
      <name val="Calibri"/>
      <color theme="1"/>
      <sz val="11"/>
      <scheme val="minor"/>
    </font>
    <font>
      <name val="Arial"/>
      <b val="1"/>
      <color rgb="FF3A2A1A"/>
      <sz val="14"/>
    </font>
    <font>
      <name val="Calibri"/>
      <color theme="1"/>
      <sz val="11"/>
    </font>
    <font>
      <name val="Arial"/>
      <i val="1"/>
      <color rgb="FF6A5A4A"/>
      <sz val="9"/>
    </font>
    <font>
      <name val="Arial"/>
      <b val="1"/>
      <color theme="1"/>
      <sz val="10"/>
    </font>
    <font>
      <name val="Arial"/>
      <color theme="1"/>
      <sz val="10"/>
    </font>
    <font>
      <name val="Arial"/>
      <b val="1"/>
      <color rgb="FFFFFFFF"/>
      <sz val="10"/>
    </font>
    <font>
      <name val="Arial"/>
      <color rgb="FF0000FF"/>
      <sz val="10"/>
    </font>
    <font>
      <name val="Arial"/>
      <color rgb="FF008000"/>
      <sz val="10"/>
    </font>
    <font>
      <name val="Arial"/>
      <b val="1"/>
      <sz val="10"/>
    </font>
    <font>
      <name val="Arial"/>
      <sz val="10"/>
    </font>
  </fonts>
  <fills count="9">
    <fill>
      <patternFill/>
    </fill>
    <fill>
      <patternFill patternType="lightGray"/>
    </fill>
    <fill>
      <patternFill patternType="solid">
        <fgColor rgb="FF5A3A22"/>
        <bgColor rgb="FF5A3A22"/>
      </patternFill>
    </fill>
    <fill>
      <patternFill patternType="solid">
        <fgColor rgb="FFEADCBF"/>
        <bgColor rgb="FFEADCBF"/>
      </patternFill>
    </fill>
    <fill>
      <patternFill patternType="solid">
        <fgColor rgb="FFFFF2A8"/>
        <bgColor rgb="FFFFF2A8"/>
      </patternFill>
    </fill>
    <fill>
      <patternFill patternType="solid">
        <fgColor rgb="FFDCEBD2"/>
        <bgColor rgb="FFDCEBD2"/>
      </patternFill>
    </fill>
    <fill>
      <patternFill patternType="solid">
        <fgColor rgb="FFD5E8C9"/>
        <bgColor rgb="FFD5E8C9"/>
      </patternFill>
    </fill>
    <fill>
      <patternFill patternType="solid">
        <fgColor rgb="FFF4C7C3"/>
        <bgColor rgb="FFF4C7C3"/>
      </patternFill>
    </fill>
    <fill>
      <patternFill patternType="solid">
        <fgColor rgb="FFFFE6B3"/>
        <bgColor rgb="FFFFE6B3"/>
      </patternFill>
    </fill>
  </fills>
  <borders count="4">
    <border/>
    <border>
      <left style="thin">
        <color rgb="FFC8B898"/>
      </left>
      <right style="thin">
        <color rgb="FFC8B898"/>
      </right>
      <top style="thin">
        <color rgb="FFC8B898"/>
      </top>
      <bottom style="thin">
        <color rgb="FFC8B898"/>
      </bottom>
    </border>
    <border>
      <left/>
      <right/>
      <top/>
      <bottom/>
    </border>
    <border>
      <left style="thin">
        <color rgb="FFC8B898"/>
      </left>
      <right style="thin">
        <color rgb="FFC8B898"/>
      </right>
    </border>
  </borders>
  <cellStyleXfs count="1">
    <xf numFmtId="0" fontId="0" fillId="0" borderId="0"/>
  </cellStyleXfs>
  <cellXfs count="50">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top" wrapText="1"/>
    </xf>
    <xf numFmtId="0" fontId="6" fillId="2" borderId="1" applyAlignment="1" pivotButton="0" quotePrefix="0" xfId="0">
      <alignment vertical="bottom"/>
    </xf>
    <xf numFmtId="0" fontId="5" fillId="0" borderId="1" applyAlignment="1" pivotButton="0" quotePrefix="0" xfId="0">
      <alignment vertical="top" wrapText="1"/>
    </xf>
    <xf numFmtId="0" fontId="5" fillId="0" borderId="0" applyAlignment="1" pivotButton="0" quotePrefix="0" xfId="0">
      <alignment vertical="bottom"/>
    </xf>
    <xf numFmtId="0" fontId="6" fillId="2" borderId="1" applyAlignment="1" pivotButton="0" quotePrefix="0" xfId="0">
      <alignment vertical="top" wrapText="1"/>
    </xf>
    <xf numFmtId="0" fontId="4" fillId="3" borderId="1" applyAlignment="1" pivotButton="0" quotePrefix="0" xfId="0">
      <alignment vertical="top" wrapText="1"/>
    </xf>
    <xf numFmtId="0" fontId="7"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2" fontId="4" fillId="3" borderId="1" applyAlignment="1" pivotButton="0" quotePrefix="0" xfId="0">
      <alignment vertical="top" wrapText="1"/>
    </xf>
    <xf numFmtId="2" fontId="8" fillId="0" borderId="1" applyAlignment="1" pivotButton="0" quotePrefix="0" xfId="0">
      <alignment vertical="top" wrapText="1"/>
    </xf>
    <xf numFmtId="1" fontId="5" fillId="0" borderId="1" applyAlignment="1" pivotButton="0" quotePrefix="0" xfId="0">
      <alignment vertical="top" wrapText="1"/>
    </xf>
    <xf numFmtId="9" fontId="7" fillId="0" borderId="1" applyAlignment="1" pivotButton="0" quotePrefix="0" xfId="0">
      <alignment vertical="top" wrapText="1"/>
    </xf>
    <xf numFmtId="164" fontId="5" fillId="0" borderId="1" applyAlignment="1" pivotButton="0" quotePrefix="0" xfId="0">
      <alignment vertical="top" wrapText="1"/>
    </xf>
    <xf numFmtId="0" fontId="8" fillId="0" borderId="1" applyAlignment="1" pivotButton="0" quotePrefix="0" xfId="0">
      <alignment vertical="top" wrapText="1"/>
    </xf>
    <xf numFmtId="0" fontId="5" fillId="0" borderId="1" applyAlignment="1" pivotButton="0" quotePrefix="0" xfId="0">
      <alignment vertical="bottom"/>
    </xf>
    <xf numFmtId="0" fontId="7" fillId="0" borderId="0" applyAlignment="1" pivotButton="0" quotePrefix="0" xfId="0">
      <alignment vertical="top" wrapText="1"/>
    </xf>
    <xf numFmtId="164" fontId="5" fillId="0" borderId="1" applyAlignment="1" pivotButton="0" quotePrefix="0" xfId="0">
      <alignment vertical="bottom"/>
    </xf>
    <xf numFmtId="0" fontId="5" fillId="4" borderId="2" applyAlignment="1" pivotButton="0" quotePrefix="0" xfId="0">
      <alignment vertical="top" wrapText="1"/>
    </xf>
    <xf numFmtId="0" fontId="4" fillId="3" borderId="1" applyAlignment="1" pivotButton="0" quotePrefix="0" xfId="0">
      <alignment vertical="bottom"/>
    </xf>
    <xf numFmtId="164" fontId="4" fillId="3" borderId="1" applyAlignment="1" pivotButton="0" quotePrefix="0" xfId="0">
      <alignment vertical="bottom"/>
    </xf>
    <xf numFmtId="0" fontId="7" fillId="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2" fontId="5" fillId="0"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7" fillId="0" borderId="0" applyAlignment="1" pivotButton="0" quotePrefix="0" xfId="0">
      <alignment vertical="bottom"/>
    </xf>
    <xf numFmtId="0" fontId="6" fillId="2" borderId="2" applyAlignment="1" pivotButton="0" quotePrefix="0" xfId="0">
      <alignment vertical="bottom"/>
    </xf>
    <xf numFmtId="0" fontId="6" fillId="2" borderId="2" applyAlignment="1" pivotButton="0" quotePrefix="0" xfId="0">
      <alignment vertical="top" wrapText="1"/>
    </xf>
    <xf numFmtId="0" fontId="5" fillId="0" borderId="3" applyAlignment="1" pivotButton="0" quotePrefix="0" xfId="0">
      <alignment vertical="top" wrapText="1"/>
    </xf>
    <xf numFmtId="0" fontId="5" fillId="5" borderId="2" applyAlignment="1" pivotButton="0" quotePrefix="0" xfId="0">
      <alignment vertical="top" wrapText="1"/>
    </xf>
    <xf numFmtId="1" fontId="5" fillId="0" borderId="0" applyAlignment="1" pivotButton="0" quotePrefix="0" xfId="0">
      <alignment vertical="bottom"/>
    </xf>
    <xf numFmtId="0" fontId="4" fillId="0" borderId="1" applyAlignment="1" pivotButton="0" quotePrefix="0" xfId="0">
      <alignment vertical="top" wrapText="1"/>
    </xf>
    <xf numFmtId="0" fontId="7" fillId="4" borderId="1" applyAlignment="1" pivotButton="0" quotePrefix="0" xfId="0">
      <alignment vertical="top" wrapText="1"/>
    </xf>
    <xf numFmtId="1" fontId="2" fillId="0" borderId="0" applyAlignment="1" pivotButton="0" quotePrefix="0" xfId="0">
      <alignment vertical="bottom"/>
    </xf>
    <xf numFmtId="9" fontId="2" fillId="0" borderId="0" applyAlignment="1" pivotButton="0" quotePrefix="0" xfId="0">
      <alignment vertical="bottom"/>
    </xf>
    <xf numFmtId="0" fontId="3" fillId="0" borderId="1" applyAlignment="1" pivotButton="0" quotePrefix="0" xfId="0">
      <alignment vertical="top" wrapText="1"/>
    </xf>
    <xf numFmtId="0" fontId="5" fillId="8" borderId="1" applyAlignment="1" pivotButton="0" quotePrefix="0" xfId="0">
      <alignment vertical="top" wrapText="1"/>
    </xf>
    <xf numFmtId="0" fontId="7" fillId="4" borderId="2" applyAlignment="1" pivotButton="0" quotePrefix="0" xfId="0">
      <alignment vertical="bottom"/>
    </xf>
    <xf numFmtId="0" fontId="5" fillId="4" borderId="1" applyAlignment="1" pivotButton="0" quotePrefix="0" xfId="0">
      <alignment vertical="top" wrapText="1"/>
    </xf>
    <xf numFmtId="0" fontId="0" fillId="0" borderId="0" pivotButton="0" quotePrefix="0" xfId="0"/>
    <xf numFmtId="0" fontId="9" fillId="0" borderId="0" pivotButton="0" quotePrefix="0" xfId="0"/>
    <xf numFmtId="0" fontId="10" fillId="0" borderId="0" pivotButton="0" quotePrefix="0" xfId="0"/>
    <xf numFmtId="0" fontId="10" fillId="0" borderId="0" applyAlignment="1" pivotButton="0" quotePrefix="0" xfId="0">
      <alignment vertical="top" wrapText="1"/>
    </xf>
  </cellXfs>
  <cellStyles count="1">
    <cellStyle name="Normal" xfId="0" builtinId="0"/>
  </cellStyles>
  <dxfs count="2">
    <dxf>
      <font/>
      <fill>
        <patternFill patternType="solid">
          <fgColor rgb="FFF4C7C3"/>
          <bgColor rgb="FFF4C7C3"/>
        </patternFill>
      </fill>
      <border/>
    </dxf>
    <dxf>
      <font/>
      <fill>
        <patternFill patternType="solid">
          <fgColor rgb="FFD5E8C9"/>
          <bgColor rgb="FFD5E8C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220"/>
  <sheetViews>
    <sheetView workbookViewId="0">
      <selection activeCell="A1" sqref="A1"/>
    </sheetView>
  </sheetViews>
  <sheetFormatPr baseColWidth="8" defaultColWidth="14.43" defaultRowHeight="15" customHeight="1"/>
  <cols>
    <col width="18" customWidth="1" style="46" min="1" max="1"/>
    <col width="110" customWidth="1" style="46" min="2" max="2"/>
    <col width="8.57" customWidth="1" style="46" min="3" max="6"/>
  </cols>
  <sheetData>
    <row r="1" ht="18" customHeight="1" s="46">
      <c r="A1" s="1" t="inlineStr">
        <is>
          <t>Corner Lands rework: steps 0 and 1</t>
        </is>
      </c>
      <c r="B1" s="2" t="n"/>
    </row>
    <row r="2" ht="14.25" customHeight="1" s="46">
      <c r="A2" s="2" t="n"/>
      <c r="B2" s="2" t="n"/>
    </row>
    <row r="3" ht="36" customHeight="1" s="46">
      <c r="A3" s="4" t="inlineStr">
        <is>
          <t>What this is</t>
        </is>
      </c>
      <c r="B3" s="5" t="inlineStr">
        <is>
          <t>A draft of the ground rules (step 0) and the basic line of every industry with its gates (step 1). Nothing here is built yet: edit freely, and the game will be built from what you settle on.</t>
        </is>
      </c>
    </row>
    <row r="4" ht="36" customHeight="1" s="46">
      <c r="A4" s="4" t="inlineStr">
        <is>
          <t>How to edit</t>
        </is>
      </c>
      <c r="B4" s="5" t="inlineStr">
        <is>
          <t>Yellow cells are yours: your call on each rule, and your notes. Blue numbers are levers (knowledge costs, rates, counts, months): change them and the budget checks update.</t>
        </is>
      </c>
    </row>
    <row r="5" ht="198" customHeight="1" s="46">
      <c r="A5" s="4" t="inlineStr">
        <is>
          <t>Tabs</t>
        </is>
      </c>
      <c r="B5" s="5" t="inlineStr">
        <is>
          <t>0 Ground rules: what each currency is for and the limits every design follows.
0 Stages: the five ranks, how long each should last and what the player does in it.
0 Knowledge: where knowledge comes from at each stage, and the budget it gives.
1 Basic lines: every industry's default chain, each unlock with its rank, knowledge cost and condition.
1 Budget check: do each stage's unlocks fit its knowledge budget?
1 Goods coverage: every good, where it comes from after step 1, and what uses it today.
Questions: decisions I need from you before building.</t>
        </is>
      </c>
    </row>
    <row r="6" ht="51.75" customHeight="1" s="46">
      <c r="A6" s="4" t="inlineStr">
        <is>
          <t>Gate notation</t>
        </is>
      </c>
      <c r="B6" s="5" t="inlineStr">
        <is>
          <t>Rank = the town size it waits for (a floor, never the whole gate). Knowledge = what it costs to learn, spent like prestige. Condition = learn by doing: produced so many of a good in total, or a building owned.</t>
        </is>
      </c>
    </row>
    <row r="7" ht="78" customHeight="1" s="46">
      <c r="A7" s="4" t="inlineStr">
        <is>
          <t>Not in this pass</t>
        </is>
      </c>
      <c r="B7" s="5" t="inlineStr">
        <is>
          <t>Civic buildings, housing needs (step 2); mixed and late goods such as stained glass, fine clothes, books, arms, wine and jewellery (step 3); extensions, upgrades and choices (step 4); manor, great works, charters (steps 5 and 6). They appear here only where a basic line leads into them.</t>
        </is>
      </c>
    </row>
    <row r="8" ht="14.25" customHeight="1" s="46">
      <c r="A8" s="2" t="n"/>
      <c r="B8" s="2" t="n"/>
    </row>
    <row r="9" ht="14.25" customHeight="1" s="46">
      <c r="A9" s="2" t="n"/>
      <c r="B9" s="2" t="n"/>
    </row>
    <row r="10" ht="14.25" customHeight="1" s="46">
      <c r="A10" s="2" t="n"/>
      <c r="B10" s="2" t="n"/>
    </row>
    <row r="11" ht="14.25" customHeight="1" s="46">
      <c r="A11" s="2" t="n"/>
      <c r="B11" s="2" t="n"/>
    </row>
    <row r="12" ht="14.25" customHeight="1" s="46">
      <c r="A12" s="2" t="n"/>
      <c r="B12" s="2" t="n"/>
    </row>
    <row r="13" ht="14.25" customHeight="1" s="46">
      <c r="A13" s="2" t="n"/>
      <c r="B13" s="2" t="n"/>
    </row>
    <row r="14" ht="14.25" customHeight="1" s="46">
      <c r="A14" s="2" t="n"/>
      <c r="B14" s="2" t="n"/>
    </row>
    <row r="15" ht="14.25" customHeight="1" s="46">
      <c r="A15" s="2" t="n"/>
      <c r="B15" s="2" t="n"/>
    </row>
    <row r="16" ht="14.25" customHeight="1" s="46">
      <c r="A16" s="2" t="n"/>
      <c r="B16" s="2" t="n"/>
    </row>
    <row r="17" ht="14.25" customHeight="1" s="46">
      <c r="A17" s="2" t="n"/>
      <c r="B17" s="2" t="n"/>
    </row>
    <row r="18" ht="14.25" customHeight="1" s="46">
      <c r="A18" s="2" t="n"/>
      <c r="B18" s="2" t="n"/>
    </row>
    <row r="19" ht="14.25" customHeight="1" s="46">
      <c r="A19" s="2" t="n"/>
      <c r="B19" s="2" t="n"/>
    </row>
    <row r="20" ht="14.25" customHeight="1" s="46">
      <c r="A20" s="2" t="n"/>
      <c r="B20" s="2" t="n"/>
    </row>
    <row r="21" ht="14.25" customHeight="1" s="46">
      <c r="A21" s="2" t="n"/>
      <c r="B21" s="2" t="n"/>
    </row>
    <row r="22" ht="14.25" customHeight="1" s="46">
      <c r="A22" s="2" t="n"/>
      <c r="B22" s="2" t="n"/>
    </row>
    <row r="23" ht="14.25" customHeight="1" s="46">
      <c r="A23" s="2" t="n"/>
      <c r="B23" s="2" t="n"/>
    </row>
    <row r="24" ht="14.25" customHeight="1" s="46">
      <c r="A24" s="2" t="n"/>
      <c r="B24" s="2" t="n"/>
    </row>
    <row r="25" ht="14.25" customHeight="1" s="46">
      <c r="A25" s="2" t="n"/>
      <c r="B25" s="2" t="n"/>
    </row>
    <row r="26" ht="14.25" customHeight="1" s="46">
      <c r="A26" s="2" t="n"/>
      <c r="B26" s="2" t="n"/>
    </row>
    <row r="27" ht="14.25" customHeight="1" s="46">
      <c r="A27" s="2" t="n"/>
      <c r="B27" s="2" t="n"/>
    </row>
    <row r="28" ht="14.25" customHeight="1" s="46">
      <c r="A28" s="2" t="n"/>
      <c r="B28" s="2" t="n"/>
    </row>
    <row r="29" ht="14.25" customHeight="1" s="46">
      <c r="A29" s="2" t="n"/>
      <c r="B29" s="2" t="n"/>
    </row>
    <row r="30" ht="14.25" customHeight="1" s="46">
      <c r="A30" s="2" t="n"/>
      <c r="B30" s="2" t="n"/>
    </row>
    <row r="31" ht="14.25" customHeight="1" s="46">
      <c r="A31" s="2" t="n"/>
      <c r="B31" s="2" t="n"/>
    </row>
    <row r="32" ht="14.25" customHeight="1" s="46">
      <c r="A32" s="2" t="n"/>
      <c r="B32" s="2" t="n"/>
    </row>
    <row r="33" ht="14.25" customHeight="1" s="46">
      <c r="A33" s="2" t="n"/>
      <c r="B33" s="2" t="n"/>
    </row>
    <row r="34" ht="14.25" customHeight="1" s="46">
      <c r="A34" s="2" t="n"/>
      <c r="B34" s="2" t="n"/>
    </row>
    <row r="35" ht="14.25" customHeight="1" s="46">
      <c r="A35" s="2" t="n"/>
      <c r="B35" s="2" t="n"/>
    </row>
    <row r="36" ht="14.25" customHeight="1" s="46">
      <c r="A36" s="2" t="n"/>
      <c r="B36" s="2" t="n"/>
    </row>
    <row r="37" ht="14.25" customHeight="1" s="46">
      <c r="A37" s="2" t="n"/>
      <c r="B37" s="2" t="n"/>
    </row>
    <row r="38" ht="14.25" customHeight="1" s="46">
      <c r="A38" s="2" t="n"/>
      <c r="B38" s="2" t="n"/>
    </row>
    <row r="39" ht="14.25" customHeight="1" s="46">
      <c r="A39" s="2" t="n"/>
      <c r="B39" s="2" t="n"/>
    </row>
    <row r="40" ht="14.25" customHeight="1" s="46">
      <c r="A40" s="2" t="n"/>
      <c r="B40" s="2" t="n"/>
    </row>
    <row r="41" ht="14.25" customHeight="1" s="46">
      <c r="A41" s="2" t="n"/>
      <c r="B41" s="2" t="n"/>
    </row>
    <row r="42" ht="14.25" customHeight="1" s="46">
      <c r="A42" s="2" t="n"/>
      <c r="B42" s="2" t="n"/>
    </row>
    <row r="43" ht="14.25" customHeight="1" s="46">
      <c r="A43" s="2" t="n"/>
      <c r="B43" s="2" t="n"/>
    </row>
    <row r="44" ht="14.25" customHeight="1" s="46">
      <c r="A44" s="2" t="n"/>
      <c r="B44" s="2" t="n"/>
    </row>
    <row r="45" ht="14.25" customHeight="1" s="46">
      <c r="A45" s="2" t="n"/>
      <c r="B45" s="2" t="n"/>
    </row>
    <row r="46" ht="14.25" customHeight="1" s="46">
      <c r="A46" s="2" t="n"/>
      <c r="B46" s="2" t="n"/>
    </row>
    <row r="47" ht="14.25" customHeight="1" s="46">
      <c r="A47" s="2" t="n"/>
      <c r="B47" s="2" t="n"/>
    </row>
    <row r="48" ht="14.25" customHeight="1" s="46">
      <c r="A48" s="2" t="n"/>
      <c r="B48" s="2" t="n"/>
    </row>
    <row r="49" ht="14.25" customHeight="1" s="46">
      <c r="A49" s="2" t="n"/>
      <c r="B49" s="2" t="n"/>
    </row>
    <row r="50" ht="14.25" customHeight="1" s="46">
      <c r="A50" s="2" t="n"/>
      <c r="B50" s="2" t="n"/>
    </row>
    <row r="51" ht="14.25" customHeight="1" s="46">
      <c r="A51" s="2" t="n"/>
      <c r="B51" s="2" t="n"/>
    </row>
    <row r="52" ht="14.25" customHeight="1" s="46">
      <c r="A52" s="2" t="n"/>
      <c r="B52" s="2" t="n"/>
    </row>
    <row r="53" ht="14.25" customHeight="1" s="46">
      <c r="A53" s="2" t="n"/>
      <c r="B53" s="2" t="n"/>
    </row>
    <row r="54" ht="14.25" customHeight="1" s="46">
      <c r="A54" s="2" t="n"/>
      <c r="B54" s="2" t="n"/>
    </row>
    <row r="55" ht="14.25" customHeight="1" s="46">
      <c r="A55" s="2" t="n"/>
      <c r="B55" s="2" t="n"/>
    </row>
    <row r="56" ht="14.25" customHeight="1" s="46">
      <c r="A56" s="2" t="n"/>
      <c r="B56" s="2" t="n"/>
    </row>
    <row r="57" ht="14.25" customHeight="1" s="46">
      <c r="A57" s="2" t="n"/>
      <c r="B57" s="2" t="n"/>
    </row>
    <row r="58" ht="14.25" customHeight="1" s="46">
      <c r="A58" s="2" t="n"/>
      <c r="B58" s="2" t="n"/>
    </row>
    <row r="59" ht="14.25" customHeight="1" s="46">
      <c r="A59" s="2" t="n"/>
      <c r="B59" s="2" t="n"/>
    </row>
    <row r="60" ht="14.25" customHeight="1" s="46">
      <c r="A60" s="2" t="n"/>
      <c r="B60" s="2" t="n"/>
    </row>
    <row r="61" ht="14.25" customHeight="1" s="46">
      <c r="A61" s="2" t="n"/>
      <c r="B61" s="2" t="n"/>
    </row>
    <row r="62" ht="14.25" customHeight="1" s="46">
      <c r="A62" s="2" t="n"/>
      <c r="B62" s="2" t="n"/>
    </row>
    <row r="63" ht="14.25" customHeight="1" s="46">
      <c r="A63" s="2" t="n"/>
      <c r="B63" s="2" t="n"/>
    </row>
    <row r="64" ht="14.25" customHeight="1" s="46">
      <c r="A64" s="2" t="n"/>
      <c r="B64" s="2" t="n"/>
    </row>
    <row r="65" ht="14.25" customHeight="1" s="46">
      <c r="A65" s="2" t="n"/>
      <c r="B65" s="2" t="n"/>
    </row>
    <row r="66" ht="14.25" customHeight="1" s="46">
      <c r="A66" s="2" t="n"/>
      <c r="B66" s="2" t="n"/>
    </row>
    <row r="67" ht="14.25" customHeight="1" s="46">
      <c r="A67" s="2" t="n"/>
      <c r="B67" s="2" t="n"/>
    </row>
    <row r="68" ht="14.25" customHeight="1" s="46">
      <c r="A68" s="2" t="n"/>
      <c r="B68" s="2" t="n"/>
    </row>
    <row r="69" ht="14.25" customHeight="1" s="46">
      <c r="A69" s="2" t="n"/>
      <c r="B69" s="2" t="n"/>
    </row>
    <row r="70" ht="14.25" customHeight="1" s="46">
      <c r="A70" s="2" t="n"/>
      <c r="B70" s="2" t="n"/>
    </row>
    <row r="71" ht="14.25" customHeight="1" s="46">
      <c r="A71" s="2" t="n"/>
      <c r="B71" s="2" t="n"/>
    </row>
    <row r="72" ht="14.25" customHeight="1" s="46">
      <c r="A72" s="2" t="n"/>
      <c r="B72" s="2" t="n"/>
    </row>
    <row r="73" ht="14.25" customHeight="1" s="46">
      <c r="A73" s="2" t="n"/>
      <c r="B73" s="2" t="n"/>
    </row>
    <row r="74" ht="14.25" customHeight="1" s="46">
      <c r="A74" s="2" t="n"/>
      <c r="B74" s="2" t="n"/>
    </row>
    <row r="75" ht="14.25" customHeight="1" s="46">
      <c r="A75" s="2" t="n"/>
      <c r="B75" s="2" t="n"/>
    </row>
    <row r="76" ht="14.25" customHeight="1" s="46">
      <c r="A76" s="2" t="n"/>
      <c r="B76" s="2" t="n"/>
    </row>
    <row r="77" ht="14.25" customHeight="1" s="46">
      <c r="A77" s="2" t="n"/>
      <c r="B77" s="2" t="n"/>
    </row>
    <row r="78" ht="14.25" customHeight="1" s="46">
      <c r="A78" s="2" t="n"/>
      <c r="B78" s="2" t="n"/>
    </row>
    <row r="79" ht="14.25" customHeight="1" s="46">
      <c r="A79" s="2" t="n"/>
      <c r="B79" s="2" t="n"/>
    </row>
    <row r="80" ht="14.25" customHeight="1" s="46">
      <c r="A80" s="2" t="n"/>
      <c r="B80" s="2" t="n"/>
    </row>
    <row r="81" ht="14.25" customHeight="1" s="46">
      <c r="A81" s="2" t="n"/>
      <c r="B81" s="2" t="n"/>
    </row>
    <row r="82" ht="14.25" customHeight="1" s="46">
      <c r="A82" s="2" t="n"/>
      <c r="B82" s="2" t="n"/>
    </row>
    <row r="83" ht="14.25" customHeight="1" s="46">
      <c r="A83" s="2" t="n"/>
      <c r="B83" s="2" t="n"/>
    </row>
    <row r="84" ht="14.25" customHeight="1" s="46">
      <c r="A84" s="2" t="n"/>
      <c r="B84" s="2" t="n"/>
    </row>
    <row r="85" ht="14.25" customHeight="1" s="46">
      <c r="A85" s="2" t="n"/>
      <c r="B85" s="2" t="n"/>
    </row>
    <row r="86" ht="14.25" customHeight="1" s="46">
      <c r="A86" s="2" t="n"/>
      <c r="B86" s="2" t="n"/>
    </row>
    <row r="87" ht="14.25" customHeight="1" s="46">
      <c r="A87" s="2" t="n"/>
      <c r="B87" s="2" t="n"/>
    </row>
    <row r="88" ht="14.25" customHeight="1" s="46">
      <c r="A88" s="2" t="n"/>
      <c r="B88" s="2" t="n"/>
    </row>
    <row r="89" ht="14.25" customHeight="1" s="46">
      <c r="A89" s="2" t="n"/>
      <c r="B89" s="2" t="n"/>
    </row>
    <row r="90" ht="14.25" customHeight="1" s="46">
      <c r="A90" s="2" t="n"/>
      <c r="B90" s="2" t="n"/>
    </row>
    <row r="91" ht="14.25" customHeight="1" s="46">
      <c r="A91" s="2" t="n"/>
      <c r="B91" s="2" t="n"/>
    </row>
    <row r="92" ht="14.25" customHeight="1" s="46">
      <c r="A92" s="2" t="n"/>
      <c r="B92" s="2" t="n"/>
    </row>
    <row r="93" ht="14.25" customHeight="1" s="46">
      <c r="A93" s="2" t="n"/>
      <c r="B93" s="2" t="n"/>
    </row>
    <row r="94" ht="14.25" customHeight="1" s="46">
      <c r="A94" s="2" t="n"/>
      <c r="B94" s="2" t="n"/>
    </row>
    <row r="95" ht="14.25" customHeight="1" s="46">
      <c r="A95" s="2" t="n"/>
      <c r="B95" s="2" t="n"/>
    </row>
    <row r="96" ht="14.25" customHeight="1" s="46">
      <c r="A96" s="2" t="n"/>
      <c r="B96" s="2" t="n"/>
    </row>
    <row r="97" ht="14.25" customHeight="1" s="46">
      <c r="A97" s="2" t="n"/>
      <c r="B97" s="2" t="n"/>
    </row>
    <row r="98" ht="14.25" customHeight="1" s="46">
      <c r="A98" s="2" t="n"/>
      <c r="B98" s="2" t="n"/>
    </row>
    <row r="99" ht="14.25" customHeight="1" s="46">
      <c r="A99" s="2" t="n"/>
      <c r="B99" s="2" t="n"/>
    </row>
    <row r="100" ht="14.25" customHeight="1" s="46">
      <c r="A100" s="2" t="n"/>
      <c r="B100" s="2" t="n"/>
    </row>
    <row r="101" ht="14.25" customHeight="1" s="46">
      <c r="A101" s="2" t="n"/>
      <c r="B101" s="2" t="n"/>
    </row>
    <row r="102" ht="14.25" customHeight="1" s="46">
      <c r="A102" s="2" t="n"/>
      <c r="B102" s="2" t="n"/>
    </row>
    <row r="103" ht="14.25" customHeight="1" s="46">
      <c r="A103" s="2" t="n"/>
      <c r="B103" s="2" t="n"/>
    </row>
    <row r="104" ht="14.25" customHeight="1" s="46">
      <c r="A104" s="2" t="n"/>
      <c r="B104" s="2" t="n"/>
    </row>
    <row r="105" ht="14.25" customHeight="1" s="46">
      <c r="A105" s="2" t="n"/>
      <c r="B105" s="2" t="n"/>
    </row>
    <row r="106" ht="14.25" customHeight="1" s="46">
      <c r="A106" s="2" t="n"/>
      <c r="B106" s="2" t="n"/>
    </row>
    <row r="107" ht="14.25" customHeight="1" s="46">
      <c r="A107" s="2" t="n"/>
      <c r="B107" s="2" t="n"/>
    </row>
    <row r="108" ht="14.25" customHeight="1" s="46">
      <c r="A108" s="2" t="n"/>
      <c r="B108" s="2" t="n"/>
    </row>
    <row r="109" ht="14.25" customHeight="1" s="46">
      <c r="A109" s="2" t="n"/>
      <c r="B109" s="2" t="n"/>
    </row>
    <row r="110" ht="14.25" customHeight="1" s="46">
      <c r="A110" s="2" t="n"/>
      <c r="B110" s="2" t="n"/>
    </row>
    <row r="111" ht="14.25" customHeight="1" s="46">
      <c r="A111" s="2" t="n"/>
      <c r="B111" s="2" t="n"/>
    </row>
    <row r="112" ht="14.25" customHeight="1" s="46">
      <c r="A112" s="2" t="n"/>
      <c r="B112" s="2" t="n"/>
    </row>
    <row r="113" ht="14.25" customHeight="1" s="46">
      <c r="A113" s="2" t="n"/>
      <c r="B113" s="2" t="n"/>
    </row>
    <row r="114" ht="14.25" customHeight="1" s="46">
      <c r="A114" s="2" t="n"/>
      <c r="B114" s="2" t="n"/>
    </row>
    <row r="115" ht="14.25" customHeight="1" s="46">
      <c r="A115" s="2" t="n"/>
      <c r="B115" s="2" t="n"/>
    </row>
    <row r="116" ht="14.25" customHeight="1" s="46">
      <c r="A116" s="2" t="n"/>
      <c r="B116" s="2" t="n"/>
    </row>
    <row r="117" ht="14.25" customHeight="1" s="46">
      <c r="A117" s="2" t="n"/>
      <c r="B117" s="2" t="n"/>
    </row>
    <row r="118" ht="14.25" customHeight="1" s="46">
      <c r="A118" s="2" t="n"/>
      <c r="B118" s="2" t="n"/>
    </row>
    <row r="119" ht="14.25" customHeight="1" s="46">
      <c r="A119" s="2" t="n"/>
      <c r="B119" s="2" t="n"/>
    </row>
    <row r="120" ht="14.25" customHeight="1" s="46">
      <c r="A120" s="2" t="n"/>
      <c r="B120" s="2" t="n"/>
    </row>
    <row r="121" ht="14.25" customHeight="1" s="46">
      <c r="A121" s="2" t="n"/>
      <c r="B121" s="2" t="n"/>
    </row>
    <row r="122" ht="14.25" customHeight="1" s="46">
      <c r="A122" s="2" t="n"/>
      <c r="B122" s="2" t="n"/>
    </row>
    <row r="123" ht="14.25" customHeight="1" s="46">
      <c r="A123" s="2" t="n"/>
      <c r="B123" s="2" t="n"/>
    </row>
    <row r="124" ht="14.25" customHeight="1" s="46">
      <c r="A124" s="2" t="n"/>
      <c r="B124" s="2" t="n"/>
    </row>
    <row r="125" ht="14.25" customHeight="1" s="46">
      <c r="A125" s="2" t="n"/>
      <c r="B125" s="2" t="n"/>
    </row>
    <row r="126" ht="14.25" customHeight="1" s="46">
      <c r="A126" s="2" t="n"/>
      <c r="B126" s="2" t="n"/>
    </row>
    <row r="127" ht="14.25" customHeight="1" s="46">
      <c r="A127" s="2" t="n"/>
      <c r="B127" s="2" t="n"/>
    </row>
    <row r="128" ht="14.25" customHeight="1" s="46">
      <c r="A128" s="2" t="n"/>
      <c r="B128" s="2" t="n"/>
    </row>
    <row r="129" ht="14.25" customHeight="1" s="46">
      <c r="A129" s="2" t="n"/>
      <c r="B129" s="2" t="n"/>
    </row>
    <row r="130" ht="14.25" customHeight="1" s="46">
      <c r="A130" s="2" t="n"/>
      <c r="B130" s="2" t="n"/>
    </row>
    <row r="131" ht="14.25" customHeight="1" s="46">
      <c r="A131" s="2" t="n"/>
      <c r="B131" s="2" t="n"/>
    </row>
    <row r="132" ht="14.25" customHeight="1" s="46">
      <c r="A132" s="2" t="n"/>
      <c r="B132" s="2" t="n"/>
    </row>
    <row r="133" ht="14.25" customHeight="1" s="46">
      <c r="A133" s="2" t="n"/>
      <c r="B133" s="2" t="n"/>
    </row>
    <row r="134" ht="14.25" customHeight="1" s="46">
      <c r="A134" s="2" t="n"/>
      <c r="B134" s="2" t="n"/>
    </row>
    <row r="135" ht="14.25" customHeight="1" s="46">
      <c r="A135" s="2" t="n"/>
      <c r="B135" s="2" t="n"/>
    </row>
    <row r="136" ht="14.25" customHeight="1" s="46">
      <c r="A136" s="2" t="n"/>
      <c r="B136" s="2" t="n"/>
    </row>
    <row r="137" ht="14.25" customHeight="1" s="46">
      <c r="A137" s="2" t="n"/>
      <c r="B137" s="2" t="n"/>
    </row>
    <row r="138" ht="14.25" customHeight="1" s="46">
      <c r="A138" s="2" t="n"/>
      <c r="B138" s="2" t="n"/>
    </row>
    <row r="139" ht="14.25" customHeight="1" s="46">
      <c r="A139" s="2" t="n"/>
      <c r="B139" s="2" t="n"/>
    </row>
    <row r="140" ht="14.25" customHeight="1" s="46">
      <c r="A140" s="2" t="n"/>
      <c r="B140" s="2" t="n"/>
    </row>
    <row r="141" ht="14.25" customHeight="1" s="46">
      <c r="A141" s="2" t="n"/>
      <c r="B141" s="2" t="n"/>
    </row>
    <row r="142" ht="14.25" customHeight="1" s="46">
      <c r="A142" s="2" t="n"/>
      <c r="B142" s="2" t="n"/>
    </row>
    <row r="143" ht="14.25" customHeight="1" s="46">
      <c r="A143" s="2" t="n"/>
      <c r="B143" s="2" t="n"/>
    </row>
    <row r="144" ht="14.25" customHeight="1" s="46">
      <c r="A144" s="2" t="n"/>
      <c r="B144" s="2" t="n"/>
    </row>
    <row r="145" ht="14.25" customHeight="1" s="46">
      <c r="A145" s="2" t="n"/>
      <c r="B145" s="2" t="n"/>
    </row>
    <row r="146" ht="14.25" customHeight="1" s="46">
      <c r="A146" s="2" t="n"/>
      <c r="B146" s="2" t="n"/>
    </row>
    <row r="147" ht="14.25" customHeight="1" s="46">
      <c r="A147" s="2" t="n"/>
      <c r="B147" s="2" t="n"/>
    </row>
    <row r="148" ht="14.25" customHeight="1" s="46">
      <c r="A148" s="2" t="n"/>
      <c r="B148" s="2" t="n"/>
    </row>
    <row r="149" ht="14.25" customHeight="1" s="46">
      <c r="A149" s="2" t="n"/>
      <c r="B149" s="2" t="n"/>
    </row>
    <row r="150" ht="14.25" customHeight="1" s="46">
      <c r="A150" s="2" t="n"/>
      <c r="B150" s="2" t="n"/>
    </row>
    <row r="151" ht="14.25" customHeight="1" s="46">
      <c r="A151" s="2" t="n"/>
      <c r="B151" s="2" t="n"/>
    </row>
    <row r="152" ht="14.25" customHeight="1" s="46">
      <c r="A152" s="2" t="n"/>
      <c r="B152" s="2" t="n"/>
    </row>
    <row r="153" ht="14.25" customHeight="1" s="46">
      <c r="A153" s="2" t="n"/>
      <c r="B153" s="2" t="n"/>
    </row>
    <row r="154" ht="14.25" customHeight="1" s="46">
      <c r="A154" s="2" t="n"/>
      <c r="B154" s="2" t="n"/>
    </row>
    <row r="155" ht="14.25" customHeight="1" s="46">
      <c r="A155" s="2" t="n"/>
      <c r="B155" s="2" t="n"/>
    </row>
    <row r="156" ht="14.25" customHeight="1" s="46">
      <c r="A156" s="2" t="n"/>
      <c r="B156" s="2" t="n"/>
    </row>
    <row r="157" ht="14.25" customHeight="1" s="46">
      <c r="A157" s="2" t="n"/>
      <c r="B157" s="2" t="n"/>
    </row>
    <row r="158" ht="14.25" customHeight="1" s="46">
      <c r="A158" s="2" t="n"/>
      <c r="B158" s="2" t="n"/>
    </row>
    <row r="159" ht="14.25" customHeight="1" s="46">
      <c r="A159" s="2" t="n"/>
      <c r="B159" s="2" t="n"/>
    </row>
    <row r="160" ht="14.25" customHeight="1" s="46">
      <c r="A160" s="2" t="n"/>
      <c r="B160" s="2" t="n"/>
    </row>
    <row r="161" ht="14.25" customHeight="1" s="46">
      <c r="A161" s="2" t="n"/>
      <c r="B161" s="2" t="n"/>
    </row>
    <row r="162" ht="14.25" customHeight="1" s="46">
      <c r="A162" s="2" t="n"/>
      <c r="B162" s="2" t="n"/>
    </row>
    <row r="163" ht="14.25" customHeight="1" s="46">
      <c r="A163" s="2" t="n"/>
      <c r="B163" s="2" t="n"/>
    </row>
    <row r="164" ht="14.25" customHeight="1" s="46">
      <c r="A164" s="2" t="n"/>
      <c r="B164" s="2" t="n"/>
    </row>
    <row r="165" ht="14.25" customHeight="1" s="46">
      <c r="A165" s="2" t="n"/>
      <c r="B165" s="2" t="n"/>
    </row>
    <row r="166" ht="14.25" customHeight="1" s="46">
      <c r="A166" s="2" t="n"/>
      <c r="B166" s="2" t="n"/>
    </row>
    <row r="167" ht="14.25" customHeight="1" s="46">
      <c r="A167" s="2" t="n"/>
      <c r="B167" s="2" t="n"/>
    </row>
    <row r="168" ht="14.25" customHeight="1" s="46">
      <c r="A168" s="2" t="n"/>
      <c r="B168" s="2" t="n"/>
    </row>
    <row r="169" ht="14.25" customHeight="1" s="46">
      <c r="A169" s="2" t="n"/>
      <c r="B169" s="2" t="n"/>
    </row>
    <row r="170" ht="14.25" customHeight="1" s="46">
      <c r="A170" s="2" t="n"/>
      <c r="B170" s="2" t="n"/>
    </row>
    <row r="171" ht="14.25" customHeight="1" s="46">
      <c r="A171" s="2" t="n"/>
      <c r="B171" s="2" t="n"/>
    </row>
    <row r="172" ht="14.25" customHeight="1" s="46">
      <c r="A172" s="2" t="n"/>
      <c r="B172" s="2" t="n"/>
    </row>
    <row r="173" ht="14.25" customHeight="1" s="46">
      <c r="A173" s="2" t="n"/>
      <c r="B173" s="2" t="n"/>
    </row>
    <row r="174" ht="14.25" customHeight="1" s="46">
      <c r="A174" s="2" t="n"/>
      <c r="B174" s="2" t="n"/>
    </row>
    <row r="175" ht="14.25" customHeight="1" s="46">
      <c r="A175" s="2" t="n"/>
      <c r="B175" s="2" t="n"/>
    </row>
    <row r="176" ht="14.25" customHeight="1" s="46">
      <c r="A176" s="2" t="n"/>
      <c r="B176" s="2" t="n"/>
    </row>
    <row r="177" ht="14.25" customHeight="1" s="46">
      <c r="A177" s="2" t="n"/>
      <c r="B177" s="2" t="n"/>
    </row>
    <row r="178" ht="14.25" customHeight="1" s="46">
      <c r="A178" s="2" t="n"/>
      <c r="B178" s="2" t="n"/>
    </row>
    <row r="179" ht="14.25" customHeight="1" s="46">
      <c r="A179" s="2" t="n"/>
      <c r="B179" s="2" t="n"/>
    </row>
    <row r="180" ht="14.25" customHeight="1" s="46">
      <c r="A180" s="2" t="n"/>
      <c r="B180" s="2" t="n"/>
    </row>
    <row r="181" ht="14.25" customHeight="1" s="46">
      <c r="A181" s="2" t="n"/>
      <c r="B181" s="2" t="n"/>
    </row>
    <row r="182" ht="14.25" customHeight="1" s="46">
      <c r="A182" s="2" t="n"/>
      <c r="B182" s="2" t="n"/>
    </row>
    <row r="183" ht="14.25" customHeight="1" s="46">
      <c r="A183" s="2" t="n"/>
      <c r="B183" s="2" t="n"/>
    </row>
    <row r="184" ht="14.25" customHeight="1" s="46">
      <c r="A184" s="2" t="n"/>
      <c r="B184" s="2" t="n"/>
    </row>
    <row r="185" ht="14.25" customHeight="1" s="46">
      <c r="A185" s="2" t="n"/>
      <c r="B185" s="2" t="n"/>
    </row>
    <row r="186" ht="14.25" customHeight="1" s="46">
      <c r="A186" s="2" t="n"/>
      <c r="B186" s="2" t="n"/>
    </row>
    <row r="187" ht="14.25" customHeight="1" s="46">
      <c r="A187" s="2" t="n"/>
      <c r="B187" s="2" t="n"/>
    </row>
    <row r="188" ht="14.25" customHeight="1" s="46">
      <c r="A188" s="2" t="n"/>
      <c r="B188" s="2" t="n"/>
    </row>
    <row r="189" ht="14.25" customHeight="1" s="46">
      <c r="A189" s="2" t="n"/>
      <c r="B189" s="2" t="n"/>
    </row>
    <row r="190" ht="14.25" customHeight="1" s="46">
      <c r="A190" s="2" t="n"/>
      <c r="B190" s="2" t="n"/>
    </row>
    <row r="191" ht="14.25" customHeight="1" s="46">
      <c r="A191" s="2" t="n"/>
      <c r="B191" s="2" t="n"/>
    </row>
    <row r="192" ht="14.25" customHeight="1" s="46">
      <c r="A192" s="2" t="n"/>
      <c r="B192" s="2" t="n"/>
    </row>
    <row r="193" ht="14.25" customHeight="1" s="46">
      <c r="A193" s="2" t="n"/>
      <c r="B193" s="2" t="n"/>
    </row>
    <row r="194" ht="14.25" customHeight="1" s="46">
      <c r="A194" s="2" t="n"/>
      <c r="B194" s="2" t="n"/>
    </row>
    <row r="195" ht="14.25" customHeight="1" s="46">
      <c r="A195" s="2" t="n"/>
      <c r="B195" s="2" t="n"/>
    </row>
    <row r="196" ht="14.25" customHeight="1" s="46">
      <c r="A196" s="2" t="n"/>
      <c r="B196" s="2" t="n"/>
    </row>
    <row r="197" ht="14.25" customHeight="1" s="46">
      <c r="A197" s="2" t="n"/>
      <c r="B197" s="2" t="n"/>
    </row>
    <row r="198" ht="14.25" customHeight="1" s="46">
      <c r="A198" s="2" t="n"/>
      <c r="B198" s="2" t="n"/>
    </row>
    <row r="199" ht="14.25" customHeight="1" s="46">
      <c r="A199" s="2" t="n"/>
      <c r="B199" s="2" t="n"/>
    </row>
    <row r="200" ht="14.25" customHeight="1" s="46">
      <c r="A200" s="2" t="n"/>
      <c r="B200" s="2" t="n"/>
    </row>
    <row r="201" ht="14.25" customHeight="1" s="46">
      <c r="A201" s="2" t="n"/>
      <c r="B201" s="2" t="n"/>
    </row>
    <row r="202" ht="14.25" customHeight="1" s="46">
      <c r="A202" s="2" t="n"/>
      <c r="B202" s="2" t="n"/>
    </row>
    <row r="203" ht="14.25" customHeight="1" s="46">
      <c r="A203" s="2" t="n"/>
      <c r="B203" s="2" t="n"/>
    </row>
    <row r="204" ht="14.25" customHeight="1" s="46">
      <c r="A204" s="2" t="n"/>
      <c r="B204" s="2" t="n"/>
    </row>
    <row r="205" ht="14.25" customHeight="1" s="46">
      <c r="A205" s="2" t="n"/>
      <c r="B205" s="2" t="n"/>
    </row>
    <row r="206" ht="14.25" customHeight="1" s="46">
      <c r="A206" s="2" t="n"/>
      <c r="B206" s="2" t="n"/>
    </row>
    <row r="207" ht="14.25" customHeight="1" s="46">
      <c r="A207" s="2" t="n"/>
      <c r="B207" s="2" t="n"/>
    </row>
    <row r="208" ht="14.25" customHeight="1" s="46">
      <c r="A208" s="2" t="n"/>
      <c r="B208" s="2" t="n"/>
    </row>
    <row r="209" ht="14.25" customHeight="1" s="46">
      <c r="A209" s="2" t="n"/>
      <c r="B209" s="2" t="n"/>
    </row>
    <row r="210" ht="14.25" customHeight="1" s="46">
      <c r="A210" s="2" t="n"/>
      <c r="B210" s="2" t="n"/>
    </row>
    <row r="211" ht="14.25" customHeight="1" s="46">
      <c r="A211" s="2" t="n"/>
      <c r="B211" s="2" t="n"/>
    </row>
    <row r="212" ht="14.25" customHeight="1" s="46">
      <c r="A212" s="2" t="n"/>
      <c r="B212" s="2" t="n"/>
    </row>
    <row r="213" ht="14.25" customHeight="1" s="46">
      <c r="A213" s="2" t="n"/>
      <c r="B213" s="2" t="n"/>
    </row>
    <row r="214" ht="14.25" customHeight="1" s="46">
      <c r="A214" s="2" t="n"/>
      <c r="B214" s="2" t="n"/>
    </row>
    <row r="215" ht="14.25" customHeight="1" s="46">
      <c r="A215" s="2" t="n"/>
      <c r="B215" s="2" t="n"/>
    </row>
    <row r="216" ht="14.25" customHeight="1" s="46">
      <c r="A216" s="2" t="n"/>
      <c r="B216" s="2" t="n"/>
    </row>
    <row r="217" ht="14.25" customHeight="1" s="46">
      <c r="A217" s="2" t="n"/>
      <c r="B217" s="2" t="n"/>
    </row>
    <row r="218" ht="14.25" customHeight="1" s="46">
      <c r="A218" s="2" t="n"/>
      <c r="B218" s="2" t="n"/>
    </row>
    <row r="219" ht="14.25" customHeight="1" s="46">
      <c r="A219" s="2" t="n"/>
      <c r="B219" s="2" t="n"/>
    </row>
    <row r="220" ht="14.25" customHeight="1" s="46">
      <c r="A220" s="2" t="n"/>
      <c r="B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D1020"/>
  <sheetViews>
    <sheetView workbookViewId="0">
      <selection activeCell="A1" sqref="A1"/>
    </sheetView>
  </sheetViews>
  <sheetFormatPr baseColWidth="8" defaultColWidth="14.43" defaultRowHeight="15" customHeight="1"/>
  <cols>
    <col width="4" customWidth="1" style="46" min="1" max="1"/>
    <col width="44" customWidth="1" style="46" min="2" max="2"/>
    <col width="64" customWidth="1" style="46" min="3" max="3"/>
    <col width="14" customWidth="1" style="46" min="4" max="4"/>
    <col width="8.57" customWidth="1" style="46" min="5" max="6"/>
  </cols>
  <sheetData>
    <row r="1" ht="17.25" customHeight="1" s="46">
      <c r="A1" s="1" t="inlineStr">
        <is>
          <t>Settled, and carried into later steps</t>
        </is>
      </c>
      <c r="B1" s="2" t="n"/>
      <c r="C1" s="2" t="n"/>
      <c r="D1" s="2" t="n"/>
    </row>
    <row r="2" ht="15" customHeight="1" s="46">
      <c r="A2" s="3" t="inlineStr">
        <is>
          <t>Your answers to my doubts after the first pass, and what each later step must pick up.</t>
        </is>
      </c>
      <c r="B2" s="2" t="n"/>
      <c r="C2" s="2" t="n"/>
      <c r="D2" s="2" t="n"/>
    </row>
    <row r="3" ht="14.25" customHeight="1" s="46">
      <c r="A3" s="2" t="n"/>
      <c r="B3" s="2" t="n"/>
      <c r="C3" s="2" t="n"/>
      <c r="D3" s="2" t="n"/>
    </row>
    <row r="4" ht="15" customHeight="1" s="46">
      <c r="A4" s="6" t="inlineStr">
        <is>
          <t>#</t>
        </is>
      </c>
      <c r="B4" s="6" t="inlineStr">
        <is>
          <t>Doubt</t>
        </is>
      </c>
      <c r="C4" s="6" t="inlineStr">
        <is>
          <t>Settled</t>
        </is>
      </c>
      <c r="D4" s="6" t="inlineStr">
        <is>
          <t>Picked up in</t>
        </is>
      </c>
    </row>
    <row r="5" ht="45" customHeight="1" s="46">
      <c r="A5" s="7" t="n">
        <v>1</v>
      </c>
      <c r="B5" s="7" t="inlineStr">
        <is>
          <t>Rank or knowledge?</t>
        </is>
      </c>
      <c r="C5" s="7" t="inlineStr">
        <is>
          <t>Either, never both: a few gateway buildings by rank, the rest by knowledge with no rank floor. A town that rushes the glassworks imports sand until it is a Town.</t>
        </is>
      </c>
      <c r="D5" s="7" t="inlineStr">
        <is>
          <t>Done (G1, G6)</t>
        </is>
      </c>
    </row>
    <row r="6" ht="60" customHeight="1" s="46">
      <c r="A6" s="7" t="n">
        <v>2</v>
      </c>
      <c r="B6" s="7" t="inlineStr">
        <is>
          <t>Knowledge pace vs essentials</t>
        </is>
      </c>
      <c r="C6" s="7" t="inlineStr">
        <is>
          <t>Timber House no longer needs drink: it needs a wooden church, water and two food groups, so its knowledge essentials fit the Hamlet's year. Townhouse checked again once its needs are set.</t>
        </is>
      </c>
      <c r="D6" s="7" t="inlineStr">
        <is>
          <t>Step 2</t>
        </is>
      </c>
    </row>
    <row r="7" ht="30" customHeight="1" s="46">
      <c r="A7" s="7" t="n">
        <v>3</v>
      </c>
      <c r="B7" s="7" t="inlineStr">
        <is>
          <t>Fuel</t>
        </is>
      </c>
      <c r="C7" s="7" t="inlineStr">
        <is>
          <t>Per batch; firewood 1 unit, charcoal 2; glassworks needs charcoal; homes burn firewood only.</t>
        </is>
      </c>
      <c r="D7" s="7" t="inlineStr">
        <is>
          <t>Done (G18)</t>
        </is>
      </c>
    </row>
    <row r="8" ht="15" customHeight="1" s="46">
      <c r="A8" s="7" t="n">
        <v>4</v>
      </c>
      <c r="B8" s="7" t="inlineStr">
        <is>
          <t>The Cooper's condition</t>
        </is>
      </c>
      <c r="C8" s="7" t="inlineStr">
        <is>
          <t>Kept as the one exception.</t>
        </is>
      </c>
      <c r="D8" s="7" t="inlineStr">
        <is>
          <t>Done (G7)</t>
        </is>
      </c>
    </row>
    <row r="9" ht="60" customHeight="1" s="46">
      <c r="A9" s="7" t="n">
        <v>5</v>
      </c>
      <c r="B9" s="7" t="inlineStr">
        <is>
          <t>Taxes and early coins</t>
        </is>
      </c>
      <c r="C9" s="7" t="inlineStr">
        <is>
          <t>Building a manor becomes pressing. The settlers bring tools for two years of a regular set of simple buildings (about 11 tools at the new upkeep rates: see 2 Upkeep).</t>
        </is>
      </c>
      <c r="D9" s="7" t="inlineStr">
        <is>
          <t>Step 2 (manor, tax offices)</t>
        </is>
      </c>
    </row>
    <row r="10" ht="30" customHeight="1" s="46">
      <c r="A10" s="7" t="n">
        <v>6</v>
      </c>
      <c r="B10" s="7" t="inlineStr">
        <is>
          <t>First crop</t>
        </is>
      </c>
      <c r="C10" s="7" t="inlineStr">
        <is>
          <t>Vegetables (turnips, cabbages, beans) instead of potatoes; the existing good.</t>
        </is>
      </c>
      <c r="D10" s="7" t="inlineStr">
        <is>
          <t>Done</t>
        </is>
      </c>
    </row>
    <row r="11" ht="30" customHeight="1" s="46">
      <c r="A11" s="7" t="n">
        <v>7</v>
      </c>
      <c r="B11" s="7" t="inlineStr">
        <is>
          <t>Herbs as weak medicine</t>
        </is>
      </c>
      <c r="C11" s="7" t="inlineStr">
        <is>
          <t>Yes: herbs run out three times as fast as medicine. Fine-tune later.</t>
        </is>
      </c>
      <c r="D11" s="7" t="inlineStr">
        <is>
          <t>Step 2</t>
        </is>
      </c>
    </row>
    <row r="12" ht="30" customHeight="1" s="46">
      <c r="A12" s="7" t="n">
        <v>8</v>
      </c>
      <c r="B12" s="7" t="inlineStr">
        <is>
          <t>Beekeeper and hives</t>
        </is>
      </c>
      <c r="C12" s="7" t="inlineStr">
        <is>
          <t>Both: the beekeeper produces, homemade hives are a small passive.</t>
        </is>
      </c>
      <c r="D12" s="7" t="inlineStr">
        <is>
          <t>Done</t>
        </is>
      </c>
    </row>
    <row r="13" ht="15" customHeight="1" s="46">
      <c r="A13" s="7" t="n">
        <v>9</v>
      </c>
      <c r="B13" s="7" t="inlineStr">
        <is>
          <t>Timber House needs</t>
        </is>
      </c>
      <c r="C13" s="7" t="inlineStr">
        <is>
          <t>Neither clothes nor drink. Cider no longer marked.</t>
        </is>
      </c>
      <c r="D13" s="7" t="inlineStr">
        <is>
          <t>Step 2</t>
        </is>
      </c>
    </row>
    <row r="14" ht="45" customHeight="1" s="46">
      <c r="A14" s="7" t="n">
        <v>10</v>
      </c>
      <c r="B14" s="7" t="inlineStr">
        <is>
          <t>Paper</t>
        </is>
      </c>
      <c r="C14" s="7" t="inlineStr">
        <is>
          <t>A Paper Mill (flax, by water) for everyone; the Scriptorium makes books only. Administrative buildings should have options to be fed; failing that, they work worse without paper.</t>
        </is>
      </c>
      <c r="D14" s="7" t="inlineStr">
        <is>
          <t>Step 2</t>
        </is>
      </c>
    </row>
    <row r="15" ht="60" customHeight="1" s="46">
      <c r="A15" s="7" t="n">
        <v>11</v>
      </c>
      <c r="B15" s="7" t="inlineStr">
        <is>
          <t>Schools</t>
        </is>
      </c>
      <c r="C15" s="7" t="inlineStr">
        <is>
          <t>A public school or a Sunday school (church extension). If both: the public school gives a fixed trickle and slows all work 1-2%; the Sunday school slows work 2-3% but gives knowledge in proportion to the homes it serves.</t>
        </is>
      </c>
      <c r="D15" s="7" t="inlineStr">
        <is>
          <t>Steps 2 and 4</t>
        </is>
      </c>
    </row>
    <row r="16" ht="14.25" customHeight="1" s="46">
      <c r="A16" s="2" t="n"/>
      <c r="B16" s="2" t="n"/>
      <c r="C16" s="2" t="n"/>
      <c r="D16" s="2" t="n"/>
    </row>
    <row r="17" ht="15" customHeight="1" s="46">
      <c r="A17" s="4" t="inlineStr">
        <is>
          <t>Ideas for feeding administrative buildings (to discuss in step 2)</t>
        </is>
      </c>
      <c r="B17" s="2" t="n"/>
      <c r="C17" s="2" t="n"/>
      <c r="D17" s="2" t="n"/>
    </row>
    <row r="18" ht="23.25" customHeight="1" s="46">
      <c r="A18" s="2" t="n"/>
      <c r="B18" s="8" t="inlineStr">
        <is>
          <t>Tally sticks</t>
        </is>
      </c>
      <c r="C18" s="5" t="inlineStr">
        <is>
          <t>Notched sticks from the carpenter: cheap and early, but an office on tally sticks handles fewer households.</t>
        </is>
      </c>
      <c r="D18" s="2" t="n"/>
    </row>
    <row r="19" ht="23.25" customHeight="1" s="46">
      <c r="A19" s="2" t="n"/>
      <c r="B19" s="8" t="inlineStr">
        <is>
          <t>Wax tablets</t>
        </is>
      </c>
      <c r="C19" s="5" t="inlineStr">
        <is>
          <t>From beekeepers' wax: reusable, so used slowly; ties the beekeeper into the town's running.</t>
        </is>
      </c>
      <c r="D19" s="2" t="n"/>
    </row>
    <row r="20" ht="15" customHeight="1" s="46">
      <c r="A20" s="2" t="n"/>
      <c r="B20" s="8" t="inlineStr">
        <is>
          <t>Parchment</t>
        </is>
      </c>
      <c r="C20" s="5" t="inlineStr">
        <is>
          <t>From hides at a parchmenter: dear, but it gives hides a third use.</t>
        </is>
      </c>
      <c r="D20" s="2" t="n"/>
    </row>
    <row r="21" ht="15" customHeight="1" s="46">
      <c r="A21" s="2" t="n"/>
      <c r="B21" s="8" t="inlineStr">
        <is>
          <t>Paper</t>
        </is>
      </c>
      <c r="C21" s="5" t="inlineStr">
        <is>
          <t>From the Paper Mill: the best, full efficiency.</t>
        </is>
      </c>
      <c r="D21" s="2" t="n"/>
    </row>
    <row r="22" ht="14.25" customHeight="1" s="46">
      <c r="A22" s="2" t="n"/>
      <c r="B22" s="2" t="n"/>
      <c r="C22" s="2" t="n"/>
      <c r="D22" s="2" t="n"/>
    </row>
    <row r="23" ht="14.25" customHeight="1" s="46">
      <c r="A23" s="4" t="inlineStr">
        <is>
          <t>Step 2, round 2</t>
        </is>
      </c>
      <c r="B23" s="2" t="n"/>
      <c r="C23" s="2" t="n"/>
      <c r="D23" s="2" t="n"/>
    </row>
    <row r="24" ht="60" customHeight="1" s="46">
      <c r="A24" s="2" t="n"/>
      <c r="B24" s="8" t="inlineStr">
        <is>
          <t>Scale</t>
        </is>
      </c>
      <c r="C24" s="5" t="inlineStr">
        <is>
          <t>Only timber and coin costs come down; production, food, storage, taxes and prices stay; rebalance at the end (G19). Costs stay flat across tiers, finer materials instead (G21). Simple buildings wear at most a tool a year (2 Upkeep).</t>
        </is>
      </c>
      <c r="D24" s="2" t="n"/>
    </row>
    <row r="25" ht="15" customHeight="1" s="46">
      <c r="A25" s="2" t="n"/>
      <c r="B25" s="8" t="inlineStr">
        <is>
          <t>Fine pottery</t>
        </is>
      </c>
      <c r="C25" s="5" t="inlineStr">
        <is>
          <t>A luxury only.</t>
        </is>
      </c>
      <c r="D25" s="2" t="n"/>
    </row>
    <row r="26" ht="30" customHeight="1" s="46">
      <c r="A26" s="2" t="n"/>
      <c r="B26" s="8" t="inlineStr">
        <is>
          <t>Luxuries</t>
        </is>
      </c>
      <c r="C26" s="5" t="inlineStr">
        <is>
          <t>Jewellery, fine clothes, glass, wine, fine pottery. Books and mead are not luxuries.</t>
        </is>
      </c>
      <c r="D26" s="2" t="n"/>
    </row>
    <row r="27" ht="30" customHeight="1" s="46">
      <c r="A27" s="2" t="n"/>
      <c r="B27" s="8" t="inlineStr">
        <is>
          <t>Garments</t>
        </is>
      </c>
      <c r="C27" s="5" t="inlineStr">
        <is>
          <t>Clothes or boots for the Townhouse; both for the Merchant's House.</t>
        </is>
      </c>
      <c r="D27" s="2" t="n"/>
    </row>
    <row r="28" ht="15" customHeight="1" s="46">
      <c r="A28" s="2" t="n"/>
      <c r="B28" s="8" t="inlineStr">
        <is>
          <t>Bathhouse</t>
        </is>
      </c>
      <c r="C28" s="5" t="inlineStr">
        <is>
          <t>Opens at Borough.</t>
        </is>
      </c>
      <c r="D28" s="2" t="n"/>
    </row>
    <row r="29" ht="15" customHeight="1" s="46">
      <c r="A29" s="2" t="n"/>
      <c r="B29" s="8" t="inlineStr">
        <is>
          <t>Builder's Yard</t>
        </is>
      </c>
      <c r="C29" s="5" t="inlineStr">
        <is>
          <t>Waits for a Draught Stable (exception to G7).</t>
        </is>
      </c>
      <c r="D29" s="2" t="n"/>
    </row>
    <row r="30" ht="30" customHeight="1" s="46">
      <c r="A30" s="2" t="n"/>
      <c r="B30" s="8" t="inlineStr">
        <is>
          <t>Market, Alehouse, Courthouse, church, armoury, potter</t>
        </is>
      </c>
      <c r="C30" s="5" t="inlineStr">
        <is>
          <t>As I read them: by crew; policing past Borough; one church per town; armoury to the manor (step 5); potter uses dye.</t>
        </is>
      </c>
      <c r="D30" s="2" t="n"/>
    </row>
    <row r="31" ht="14.25" customHeight="1" s="46">
      <c r="A31" s="2" t="n"/>
      <c r="B31" s="2" t="n"/>
      <c r="C31" s="2" t="n"/>
      <c r="D31" s="2" t="n"/>
    </row>
    <row r="32" ht="14.25" customHeight="1" s="46">
      <c r="A32" s="4" t="inlineStr">
        <is>
          <t>Costs edit and step 3</t>
        </is>
      </c>
      <c r="B32" s="2" t="n"/>
      <c r="C32" s="2" t="n"/>
      <c r="D32" s="2" t="n"/>
    </row>
    <row r="33" ht="75" customHeight="1" s="46">
      <c r="A33" s="2" t="n"/>
      <c r="B33" s="8" t="inlineStr">
        <is>
          <t>Production speed</t>
        </is>
      </c>
      <c r="C33" s="5" t="inlineStr">
        <is>
          <t>Most non-food goods slow down to match the cheaper buildings; provisionally a third of today's speed (your costs are a third of today's on the median). To watch: your new upkeep is higher than today's for most workshops, so tools could get scarce. Settled in step 8.</t>
        </is>
      </c>
      <c r="D33" s="2" t="n"/>
    </row>
    <row r="34" ht="45" customHeight="1" s="46">
      <c r="A34" s="2" t="n"/>
      <c r="B34" s="8" t="inlineStr">
        <is>
          <t>Home sizes</t>
        </is>
      </c>
      <c r="C34" s="5" t="inlineStr">
        <is>
          <t>Residents no longer grow much with the home's level: Townhouse, Merchant's and Patrician houses all hold 9, so a big town has more homes, and markets and alehouses serve by crew.</t>
        </is>
      </c>
      <c r="D34" s="2" t="n"/>
    </row>
    <row r="35" ht="45" customHeight="1" s="46">
      <c r="A35" s="2" t="n"/>
      <c r="B35" s="8" t="inlineStr">
        <is>
          <t>Manor grounds</t>
        </is>
      </c>
      <c r="C35" s="5" t="inlineStr">
        <is>
          <t>Every manor building must touch the manor or a manor decoration that touches it; the manor's grounds blend into one dirt shape (art). Step 5.</t>
        </is>
      </c>
      <c r="D35" s="2" t="n"/>
    </row>
    <row r="36" ht="15" customHeight="1" s="46">
      <c r="A36" s="2" t="n"/>
      <c r="B36" s="8" t="inlineStr">
        <is>
          <t>Watch towers</t>
        </is>
      </c>
      <c r="C36" s="5" t="inlineStr">
        <is>
          <t>At most 2 for each rank above Village. Step 5.</t>
        </is>
      </c>
      <c r="D36" s="2" t="n"/>
    </row>
    <row r="37" ht="30" customHeight="1" s="46">
      <c r="A37" s="2" t="n"/>
      <c r="B37" s="8" t="inlineStr">
        <is>
          <t>Roads and orchards</t>
        </is>
      </c>
      <c r="C37" s="5" t="inlineStr">
        <is>
          <t>Stone road 2 stone a tile, cobbles 2 dressed stone a tile, orchards keep 2 coins a tile.</t>
        </is>
      </c>
      <c r="D37" s="2" t="n"/>
    </row>
    <row r="38" ht="75" customHeight="1" s="46">
      <c r="A38" s="2" t="n"/>
      <c r="B38" s="8" t="inlineStr">
        <is>
          <t>Step 3</t>
        </is>
      </c>
      <c r="C38" s="5" t="inlineStr">
        <is>
          <t>All agreed: Embroiderer and Glazier, parchment, mead for all, watch wears clothes and boots, medicine for sickness, jeweller sets silver with glass, books bought or charter. Silver to watch closely. Monasteries only consume books (no copying extension).</t>
        </is>
      </c>
      <c r="D38" s="2" t="n"/>
    </row>
    <row r="39" ht="14.25" customHeight="1" s="46">
      <c r="A39" s="2" t="n"/>
      <c r="B39" s="2" t="n"/>
      <c r="C39" s="2" t="n"/>
      <c r="D39" s="2" t="n"/>
    </row>
    <row r="40" ht="14.25" customHeight="1" s="46">
      <c r="A40" s="4" t="inlineStr">
        <is>
          <t>Step 4</t>
        </is>
      </c>
      <c r="B40" s="2" t="n"/>
      <c r="C40" s="2" t="n"/>
      <c r="D40" s="2" t="n"/>
    </row>
    <row r="41" ht="30" customHeight="1" s="46">
      <c r="A41" s="2" t="n"/>
      <c r="B41" s="8" t="inlineStr">
        <is>
          <t>Extensions</t>
        </is>
      </c>
      <c r="C41" s="5" t="inlineStr">
        <is>
          <t>A workplace may have several different extensions, each built once; they add an ability and may add a flat bonus.</t>
        </is>
      </c>
      <c r="D41" s="2" t="n"/>
    </row>
    <row r="42" ht="30" customHeight="1" s="46">
      <c r="A42" s="2" t="n"/>
      <c r="B42" s="8" t="inlineStr">
        <is>
          <t>Upgrades</t>
        </is>
      </c>
      <c r="C42" s="5" t="inlineStr">
        <is>
          <t>Usually places and another bonus together; chains are possible (the stores already have one: loft, then improved).</t>
        </is>
      </c>
      <c r="D42" s="2" t="n"/>
    </row>
    <row r="43" ht="30" customHeight="1" s="46">
      <c r="A43" s="2" t="n"/>
      <c r="B43" s="8" t="inlineStr">
        <is>
          <t>Learning by doing</t>
        </is>
      </c>
      <c r="C43" s="5" t="inlineStr">
        <is>
          <t>Required for upgrades and extensions, optional for variants and choices.</t>
        </is>
      </c>
      <c r="D43" s="2" t="n"/>
    </row>
    <row r="44" ht="75" customHeight="1" s="46">
      <c r="A44" s="2" t="n"/>
      <c r="B44" s="8" t="inlineStr">
        <is>
          <t>Your additions</t>
        </is>
      </c>
      <c r="C44" s="5" t="inlineStr">
        <is>
          <t>Large woodcutter's lodge, ox tool-shed, water sawmill as a building, roads behind knowledge, cattle breeds as a choice, animal sheds, pears and strawberries, fish pond, trade choices, goods cart, trade centre, huge ships, expanded draught stable, mounted guard, improved stores, ox-carts.</t>
        </is>
      </c>
      <c r="D44" s="2" t="n"/>
    </row>
    <row r="45" ht="30" customHeight="1" s="46">
      <c r="A45" s="2" t="n"/>
      <c r="B45" s="8" t="inlineStr">
        <is>
          <t>Dropped</t>
        </is>
      </c>
      <c r="C45" s="5" t="inlineStr">
        <is>
          <t>Roofs and heraldic banners are no longer in the table (5 Questions asks whether on purpose).</t>
        </is>
      </c>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4.25" customHeight="1" s="46">
      <c r="A221" s="2" t="n"/>
      <c r="B221" s="2" t="n"/>
      <c r="C221" s="2" t="n"/>
      <c r="D221" s="2" t="n"/>
    </row>
    <row r="222" ht="14.25" customHeight="1" s="46">
      <c r="A222" s="2" t="n"/>
      <c r="B222" s="2" t="n"/>
      <c r="C222" s="2" t="n"/>
      <c r="D222" s="2" t="n"/>
    </row>
    <row r="223" ht="14.25" customHeight="1" s="46">
      <c r="A223" s="2" t="n"/>
      <c r="B223" s="2" t="n"/>
      <c r="C223" s="2" t="n"/>
      <c r="D223" s="2" t="n"/>
    </row>
    <row r="224" ht="14.25" customHeight="1" s="46">
      <c r="A224" s="2" t="n"/>
      <c r="B224" s="2" t="n"/>
      <c r="C224" s="2" t="n"/>
      <c r="D224" s="2" t="n"/>
    </row>
    <row r="225" ht="14.25" customHeight="1" s="46">
      <c r="A225" s="2" t="n"/>
      <c r="B225" s="2" t="n"/>
      <c r="C225" s="2" t="n"/>
      <c r="D225" s="2" t="n"/>
    </row>
    <row r="226" ht="14.25" customHeight="1" s="46">
      <c r="A226" s="2" t="n"/>
      <c r="B226" s="2" t="n"/>
      <c r="C226" s="2" t="n"/>
      <c r="D226" s="2" t="n"/>
    </row>
    <row r="227" ht="14.25" customHeight="1" s="46">
      <c r="A227" s="2" t="n"/>
      <c r="B227" s="2" t="n"/>
      <c r="C227" s="2" t="n"/>
      <c r="D227" s="2" t="n"/>
    </row>
    <row r="228" ht="14.25" customHeight="1" s="46">
      <c r="A228" s="2" t="n"/>
      <c r="B228" s="2" t="n"/>
      <c r="C228" s="2" t="n"/>
      <c r="D228" s="2" t="n"/>
    </row>
    <row r="229" ht="14.25" customHeight="1" s="46">
      <c r="A229" s="2" t="n"/>
      <c r="B229" s="2" t="n"/>
      <c r="C229" s="2" t="n"/>
      <c r="D229" s="2" t="n"/>
    </row>
    <row r="230" ht="14.25" customHeight="1" s="46">
      <c r="A230" s="2" t="n"/>
      <c r="B230" s="2" t="n"/>
      <c r="C230" s="2" t="n"/>
      <c r="D230" s="2" t="n"/>
    </row>
    <row r="231" ht="14.25" customHeight="1" s="46">
      <c r="A231" s="2" t="n"/>
      <c r="B231" s="2" t="n"/>
      <c r="C231" s="2" t="n"/>
      <c r="D231" s="2" t="n"/>
    </row>
    <row r="232" ht="14.25" customHeight="1" s="46">
      <c r="A232" s="2" t="n"/>
      <c r="B232" s="2" t="n"/>
      <c r="C232" s="2" t="n"/>
      <c r="D232" s="2" t="n"/>
    </row>
    <row r="233" ht="14.25" customHeight="1" s="46">
      <c r="A233" s="2" t="n"/>
      <c r="B233" s="2" t="n"/>
      <c r="C233" s="2" t="n"/>
      <c r="D233" s="2" t="n"/>
    </row>
    <row r="234" ht="14.25" customHeight="1" s="46">
      <c r="A234" s="2" t="n"/>
      <c r="B234" s="2" t="n"/>
      <c r="C234" s="2" t="n"/>
      <c r="D234" s="2" t="n"/>
    </row>
    <row r="235" ht="14.25" customHeight="1" s="46">
      <c r="A235" s="2" t="n"/>
      <c r="B235" s="2" t="n"/>
      <c r="C235" s="2" t="n"/>
      <c r="D235" s="2" t="n"/>
    </row>
    <row r="236" ht="14.25" customHeight="1" s="46">
      <c r="A236" s="2" t="n"/>
      <c r="B236" s="2" t="n"/>
      <c r="C236" s="2" t="n"/>
      <c r="D236" s="2" t="n"/>
    </row>
    <row r="237" ht="14.25" customHeight="1" s="46">
      <c r="A237" s="2" t="n"/>
      <c r="B237" s="2" t="n"/>
      <c r="C237" s="2" t="n"/>
      <c r="D237" s="2" t="n"/>
    </row>
    <row r="238" ht="14.25" customHeight="1" s="46">
      <c r="A238" s="2" t="n"/>
      <c r="B238" s="2" t="n"/>
      <c r="C238" s="2" t="n"/>
      <c r="D238" s="2" t="n"/>
    </row>
    <row r="239" ht="14.25" customHeight="1" s="46">
      <c r="A239" s="2" t="n"/>
      <c r="B239" s="2" t="n"/>
      <c r="C239" s="2" t="n"/>
      <c r="D239" s="2" t="n"/>
    </row>
    <row r="240" ht="14.25" customHeight="1" s="46">
      <c r="A240" s="2" t="n"/>
      <c r="B240" s="2" t="n"/>
      <c r="C240" s="2" t="n"/>
      <c r="D240" s="2" t="n"/>
    </row>
    <row r="241" ht="14.25" customHeight="1" s="46">
      <c r="A241" s="2" t="n"/>
      <c r="B241" s="2" t="n"/>
      <c r="C241" s="2" t="n"/>
      <c r="D241" s="2" t="n"/>
    </row>
    <row r="242" ht="14.25" customHeight="1" s="46">
      <c r="A242" s="2" t="n"/>
      <c r="B242" s="2" t="n"/>
      <c r="C242" s="2" t="n"/>
      <c r="D242" s="2" t="n"/>
    </row>
    <row r="243" ht="14.25" customHeight="1" s="46">
      <c r="A243" s="2" t="n"/>
      <c r="B243" s="2" t="n"/>
      <c r="C243" s="2" t="n"/>
      <c r="D243" s="2" t="n"/>
    </row>
    <row r="244" ht="14.25" customHeight="1" s="46">
      <c r="A244" s="2" t="n"/>
      <c r="B244" s="2" t="n"/>
      <c r="C244" s="2" t="n"/>
      <c r="D244" s="2" t="n"/>
    </row>
    <row r="245" ht="14.25" customHeight="1" s="46">
      <c r="A245" s="2" t="n"/>
      <c r="B245" s="2" t="n"/>
      <c r="C245" s="2" t="n"/>
      <c r="D245" s="2" t="n"/>
    </row>
    <row r="246" ht="14.25" customHeight="1" s="46">
      <c r="A246" s="2" t="n"/>
      <c r="B246" s="2" t="n"/>
      <c r="C246" s="2" t="n"/>
      <c r="D246" s="2" t="n"/>
    </row>
    <row r="247" ht="14.25" customHeight="1" s="46">
      <c r="A247" s="2" t="n"/>
      <c r="B247" s="2" t="n"/>
      <c r="C247" s="2" t="n"/>
      <c r="D247" s="2" t="n"/>
    </row>
    <row r="248" ht="14.25" customHeight="1" s="46">
      <c r="A248" s="2" t="n"/>
      <c r="B248" s="2" t="n"/>
      <c r="C248" s="2" t="n"/>
      <c r="D248" s="2" t="n"/>
    </row>
    <row r="249" ht="14.25" customHeight="1" s="46">
      <c r="A249" s="2" t="n"/>
      <c r="B249" s="2" t="n"/>
      <c r="C249" s="2" t="n"/>
      <c r="D249" s="2" t="n"/>
    </row>
    <row r="250" ht="14.25" customHeight="1" s="46">
      <c r="A250" s="2" t="n"/>
      <c r="B250" s="2" t="n"/>
      <c r="C250" s="2" t="n"/>
      <c r="D250" s="2" t="n"/>
    </row>
    <row r="251" ht="14.25" customHeight="1" s="46">
      <c r="A251" s="2" t="n"/>
      <c r="B251" s="2" t="n"/>
      <c r="C251" s="2" t="n"/>
      <c r="D251" s="2" t="n"/>
    </row>
    <row r="252" ht="14.25" customHeight="1" s="46">
      <c r="A252" s="2" t="n"/>
      <c r="B252" s="2" t="n"/>
      <c r="C252" s="2" t="n"/>
      <c r="D252" s="2" t="n"/>
    </row>
    <row r="253" ht="14.25" customHeight="1" s="46">
      <c r="A253" s="2" t="n"/>
      <c r="B253" s="2" t="n"/>
      <c r="C253" s="2" t="n"/>
      <c r="D253" s="2" t="n"/>
    </row>
    <row r="254" ht="14.25" customHeight="1" s="46">
      <c r="A254" s="2" t="n"/>
      <c r="B254" s="2" t="n"/>
      <c r="C254" s="2" t="n"/>
      <c r="D254" s="2" t="n"/>
    </row>
    <row r="255" ht="14.25" customHeight="1" s="46">
      <c r="A255" s="2" t="n"/>
      <c r="B255" s="2" t="n"/>
      <c r="C255" s="2" t="n"/>
      <c r="D255" s="2" t="n"/>
    </row>
    <row r="256" ht="14.25" customHeight="1" s="46">
      <c r="A256" s="2" t="n"/>
      <c r="B256" s="2" t="n"/>
      <c r="C256" s="2" t="n"/>
      <c r="D256" s="2" t="n"/>
    </row>
    <row r="257" ht="14.25" customHeight="1" s="46">
      <c r="A257" s="2" t="n"/>
      <c r="B257" s="2" t="n"/>
      <c r="C257" s="2" t="n"/>
      <c r="D257" s="2" t="n"/>
    </row>
    <row r="258" ht="14.25" customHeight="1" s="46">
      <c r="A258" s="2" t="n"/>
      <c r="B258" s="2" t="n"/>
      <c r="C258" s="2" t="n"/>
      <c r="D258" s="2" t="n"/>
    </row>
    <row r="259" ht="14.25" customHeight="1" s="46">
      <c r="A259" s="2" t="n"/>
      <c r="B259" s="2" t="n"/>
      <c r="C259" s="2" t="n"/>
      <c r="D259" s="2" t="n"/>
    </row>
    <row r="260" ht="14.25" customHeight="1" s="46">
      <c r="A260" s="2" t="n"/>
      <c r="B260" s="2" t="n"/>
      <c r="C260" s="2" t="n"/>
      <c r="D260" s="2" t="n"/>
    </row>
    <row r="261" ht="14.25" customHeight="1" s="46">
      <c r="A261" s="2" t="n"/>
      <c r="B261" s="2" t="n"/>
      <c r="C261" s="2" t="n"/>
      <c r="D261" s="2" t="n"/>
    </row>
    <row r="262" ht="14.25" customHeight="1" s="46">
      <c r="A262" s="2" t="n"/>
      <c r="B262" s="2" t="n"/>
      <c r="C262" s="2" t="n"/>
      <c r="D262" s="2" t="n"/>
    </row>
    <row r="263" ht="14.25" customHeight="1" s="46">
      <c r="A263" s="2" t="n"/>
      <c r="B263" s="2" t="n"/>
      <c r="C263" s="2" t="n"/>
      <c r="D263" s="2" t="n"/>
    </row>
    <row r="264" ht="14.25" customHeight="1" s="46">
      <c r="A264" s="2" t="n"/>
      <c r="B264" s="2" t="n"/>
      <c r="C264" s="2" t="n"/>
      <c r="D264" s="2" t="n"/>
    </row>
    <row r="265" ht="14.25" customHeight="1" s="46">
      <c r="A265" s="2" t="n"/>
      <c r="B265" s="2" t="n"/>
      <c r="C265" s="2" t="n"/>
      <c r="D265" s="2" t="n"/>
    </row>
    <row r="266" ht="14.25" customHeight="1" s="46">
      <c r="A266" s="2" t="n"/>
      <c r="B266" s="2" t="n"/>
      <c r="C266" s="2" t="n"/>
      <c r="D266" s="2" t="n"/>
    </row>
    <row r="267" ht="14.25" customHeight="1" s="46">
      <c r="A267" s="2" t="n"/>
      <c r="B267" s="2" t="n"/>
      <c r="C267" s="2" t="n"/>
      <c r="D267" s="2" t="n"/>
    </row>
    <row r="268" ht="14.25" customHeight="1" s="46">
      <c r="A268" s="2" t="n"/>
      <c r="B268" s="2" t="n"/>
      <c r="C268" s="2" t="n"/>
      <c r="D268" s="2" t="n"/>
    </row>
    <row r="269" ht="14.25" customHeight="1" s="46">
      <c r="A269" s="2" t="n"/>
      <c r="B269" s="2" t="n"/>
      <c r="C269" s="2" t="n"/>
      <c r="D269" s="2" t="n"/>
    </row>
    <row r="270" ht="14.25" customHeight="1" s="46">
      <c r="A270" s="2" t="n"/>
      <c r="B270" s="2" t="n"/>
      <c r="C270" s="2" t="n"/>
      <c r="D270" s="2" t="n"/>
    </row>
    <row r="271" ht="14.25" customHeight="1" s="46">
      <c r="A271" s="2" t="n"/>
      <c r="B271" s="2" t="n"/>
      <c r="C271" s="2" t="n"/>
      <c r="D271" s="2" t="n"/>
    </row>
    <row r="272" ht="14.25" customHeight="1" s="46">
      <c r="A272" s="2" t="n"/>
      <c r="B272" s="2" t="n"/>
      <c r="C272" s="2" t="n"/>
      <c r="D272" s="2" t="n"/>
    </row>
    <row r="273" ht="14.25" customHeight="1" s="46">
      <c r="A273" s="2" t="n"/>
      <c r="B273" s="2" t="n"/>
      <c r="C273" s="2" t="n"/>
      <c r="D273" s="2" t="n"/>
    </row>
    <row r="274" ht="14.25" customHeight="1" s="46">
      <c r="A274" s="2" t="n"/>
      <c r="B274" s="2" t="n"/>
      <c r="C274" s="2" t="n"/>
      <c r="D274" s="2" t="n"/>
    </row>
    <row r="275" ht="14.25" customHeight="1" s="46">
      <c r="A275" s="2" t="n"/>
      <c r="B275" s="2" t="n"/>
      <c r="C275" s="2" t="n"/>
      <c r="D275" s="2" t="n"/>
    </row>
    <row r="276" ht="14.25" customHeight="1" s="46">
      <c r="A276" s="2" t="n"/>
      <c r="B276" s="2" t="n"/>
      <c r="C276" s="2" t="n"/>
      <c r="D276" s="2" t="n"/>
    </row>
    <row r="277" ht="14.25" customHeight="1" s="46">
      <c r="A277" s="2" t="n"/>
      <c r="B277" s="2" t="n"/>
      <c r="C277" s="2" t="n"/>
      <c r="D277" s="2" t="n"/>
    </row>
    <row r="278" ht="14.25" customHeight="1" s="46">
      <c r="A278" s="2" t="n"/>
      <c r="B278" s="2" t="n"/>
      <c r="C278" s="2" t="n"/>
      <c r="D278" s="2" t="n"/>
    </row>
    <row r="279" ht="14.25" customHeight="1" s="46">
      <c r="A279" s="2" t="n"/>
      <c r="B279" s="2" t="n"/>
      <c r="C279" s="2" t="n"/>
      <c r="D279" s="2" t="n"/>
    </row>
    <row r="280" ht="14.25" customHeight="1" s="46">
      <c r="A280" s="2" t="n"/>
      <c r="B280" s="2" t="n"/>
      <c r="C280" s="2" t="n"/>
      <c r="D280" s="2" t="n"/>
    </row>
    <row r="281" ht="14.25" customHeight="1" s="46">
      <c r="A281" s="2" t="n"/>
      <c r="B281" s="2" t="n"/>
      <c r="C281" s="2" t="n"/>
      <c r="D281" s="2" t="n"/>
    </row>
    <row r="282" ht="14.25" customHeight="1" s="46">
      <c r="A282" s="2" t="n"/>
      <c r="B282" s="2" t="n"/>
      <c r="C282" s="2" t="n"/>
      <c r="D282" s="2" t="n"/>
    </row>
    <row r="283" ht="14.25" customHeight="1" s="46">
      <c r="A283" s="2" t="n"/>
      <c r="B283" s="2" t="n"/>
      <c r="C283" s="2" t="n"/>
      <c r="D283" s="2" t="n"/>
    </row>
    <row r="284" ht="14.25" customHeight="1" s="46">
      <c r="A284" s="2" t="n"/>
      <c r="B284" s="2" t="n"/>
      <c r="C284" s="2" t="n"/>
      <c r="D284" s="2" t="n"/>
    </row>
    <row r="285" ht="14.25" customHeight="1" s="46">
      <c r="A285" s="2" t="n"/>
      <c r="B285" s="2" t="n"/>
      <c r="C285" s="2" t="n"/>
      <c r="D285" s="2" t="n"/>
    </row>
    <row r="286" ht="14.25" customHeight="1" s="46">
      <c r="A286" s="2" t="n"/>
      <c r="B286" s="2" t="n"/>
      <c r="C286" s="2" t="n"/>
      <c r="D286" s="2" t="n"/>
    </row>
    <row r="287" ht="14.25" customHeight="1" s="46">
      <c r="A287" s="2" t="n"/>
      <c r="B287" s="2" t="n"/>
      <c r="C287" s="2" t="n"/>
      <c r="D287" s="2" t="n"/>
    </row>
    <row r="288" ht="14.25" customHeight="1" s="46">
      <c r="A288" s="2" t="n"/>
      <c r="B288" s="2" t="n"/>
      <c r="C288" s="2" t="n"/>
      <c r="D288" s="2" t="n"/>
    </row>
    <row r="289" ht="14.25" customHeight="1" s="46">
      <c r="A289" s="2" t="n"/>
      <c r="B289" s="2" t="n"/>
      <c r="C289" s="2" t="n"/>
      <c r="D289" s="2" t="n"/>
    </row>
    <row r="290" ht="14.25" customHeight="1" s="46">
      <c r="A290" s="2" t="n"/>
      <c r="B290" s="2" t="n"/>
      <c r="C290" s="2" t="n"/>
      <c r="D290" s="2" t="n"/>
    </row>
    <row r="291" ht="14.25" customHeight="1" s="46">
      <c r="A291" s="2" t="n"/>
      <c r="B291" s="2" t="n"/>
      <c r="C291" s="2" t="n"/>
      <c r="D291" s="2" t="n"/>
    </row>
    <row r="292" ht="14.25" customHeight="1" s="46">
      <c r="A292" s="2" t="n"/>
      <c r="B292" s="2" t="n"/>
      <c r="C292" s="2" t="n"/>
      <c r="D292" s="2" t="n"/>
    </row>
    <row r="293" ht="14.25" customHeight="1" s="46">
      <c r="A293" s="2" t="n"/>
      <c r="B293" s="2" t="n"/>
      <c r="C293" s="2" t="n"/>
      <c r="D293" s="2" t="n"/>
    </row>
    <row r="294" ht="14.25" customHeight="1" s="46">
      <c r="A294" s="2" t="n"/>
      <c r="B294" s="2" t="n"/>
      <c r="C294" s="2" t="n"/>
      <c r="D294" s="2" t="n"/>
    </row>
    <row r="295" ht="14.25" customHeight="1" s="46">
      <c r="A295" s="2" t="n"/>
      <c r="B295" s="2" t="n"/>
      <c r="C295" s="2" t="n"/>
      <c r="D295" s="2" t="n"/>
    </row>
    <row r="296" ht="14.25" customHeight="1" s="46">
      <c r="A296" s="2" t="n"/>
      <c r="B296" s="2" t="n"/>
      <c r="C296" s="2" t="n"/>
      <c r="D296" s="2" t="n"/>
    </row>
    <row r="297" ht="14.25" customHeight="1" s="46">
      <c r="A297" s="2" t="n"/>
      <c r="B297" s="2" t="n"/>
      <c r="C297" s="2" t="n"/>
      <c r="D297" s="2" t="n"/>
    </row>
    <row r="298" ht="14.25" customHeight="1" s="46">
      <c r="A298" s="2" t="n"/>
      <c r="B298" s="2" t="n"/>
      <c r="C298" s="2" t="n"/>
      <c r="D298" s="2" t="n"/>
    </row>
    <row r="299" ht="14.25" customHeight="1" s="46">
      <c r="A299" s="2" t="n"/>
      <c r="B299" s="2" t="n"/>
      <c r="C299" s="2" t="n"/>
      <c r="D299" s="2" t="n"/>
    </row>
    <row r="300" ht="14.25" customHeight="1" s="46">
      <c r="A300" s="2" t="n"/>
      <c r="B300" s="2" t="n"/>
      <c r="C300" s="2" t="n"/>
      <c r="D300" s="2" t="n"/>
    </row>
    <row r="301" ht="14.25" customHeight="1" s="46">
      <c r="A301" s="2" t="n"/>
      <c r="B301" s="2" t="n"/>
      <c r="C301" s="2" t="n"/>
      <c r="D301" s="2" t="n"/>
    </row>
    <row r="302" ht="14.25" customHeight="1" s="46">
      <c r="A302" s="2" t="n"/>
      <c r="B302" s="2" t="n"/>
      <c r="C302" s="2" t="n"/>
      <c r="D302" s="2" t="n"/>
    </row>
    <row r="303" ht="14.25" customHeight="1" s="46">
      <c r="A303" s="2" t="n"/>
      <c r="B303" s="2" t="n"/>
      <c r="C303" s="2" t="n"/>
      <c r="D303" s="2" t="n"/>
    </row>
    <row r="304" ht="14.25" customHeight="1" s="46">
      <c r="A304" s="2" t="n"/>
      <c r="B304" s="2" t="n"/>
      <c r="C304" s="2" t="n"/>
      <c r="D304" s="2" t="n"/>
    </row>
    <row r="305" ht="14.25" customHeight="1" s="46">
      <c r="A305" s="2" t="n"/>
      <c r="B305" s="2" t="n"/>
      <c r="C305" s="2" t="n"/>
      <c r="D305" s="2" t="n"/>
    </row>
    <row r="306" ht="14.25" customHeight="1" s="46">
      <c r="A306" s="2" t="n"/>
      <c r="B306" s="2" t="n"/>
      <c r="C306" s="2" t="n"/>
      <c r="D306" s="2" t="n"/>
    </row>
    <row r="307" ht="14.25" customHeight="1" s="46">
      <c r="A307" s="2" t="n"/>
      <c r="B307" s="2" t="n"/>
      <c r="C307" s="2" t="n"/>
      <c r="D307" s="2" t="n"/>
    </row>
    <row r="308" ht="14.25" customHeight="1" s="46">
      <c r="A308" s="2" t="n"/>
      <c r="B308" s="2" t="n"/>
      <c r="C308" s="2" t="n"/>
      <c r="D308" s="2" t="n"/>
    </row>
    <row r="309" ht="14.25" customHeight="1" s="46">
      <c r="A309" s="2" t="n"/>
      <c r="B309" s="2" t="n"/>
      <c r="C309" s="2" t="n"/>
      <c r="D309" s="2" t="n"/>
    </row>
    <row r="310" ht="14.25" customHeight="1" s="46">
      <c r="A310" s="2" t="n"/>
      <c r="B310" s="2" t="n"/>
      <c r="C310" s="2" t="n"/>
      <c r="D310" s="2" t="n"/>
    </row>
    <row r="311" ht="14.25" customHeight="1" s="46">
      <c r="A311" s="2" t="n"/>
      <c r="B311" s="2" t="n"/>
      <c r="C311" s="2" t="n"/>
      <c r="D311" s="2" t="n"/>
    </row>
    <row r="312" ht="14.25" customHeight="1" s="46">
      <c r="A312" s="2" t="n"/>
      <c r="B312" s="2" t="n"/>
      <c r="C312" s="2" t="n"/>
      <c r="D312" s="2" t="n"/>
    </row>
    <row r="313" ht="14.25" customHeight="1" s="46">
      <c r="A313" s="2" t="n"/>
      <c r="B313" s="2" t="n"/>
      <c r="C313" s="2" t="n"/>
      <c r="D313" s="2" t="n"/>
    </row>
    <row r="314" ht="14.25" customHeight="1" s="46">
      <c r="A314" s="2" t="n"/>
      <c r="B314" s="2" t="n"/>
      <c r="C314" s="2" t="n"/>
      <c r="D314" s="2" t="n"/>
    </row>
    <row r="315" ht="14.25" customHeight="1" s="46">
      <c r="A315" s="2" t="n"/>
      <c r="B315" s="2" t="n"/>
      <c r="C315" s="2" t="n"/>
      <c r="D315" s="2" t="n"/>
    </row>
    <row r="316" ht="14.25" customHeight="1" s="46">
      <c r="A316" s="2" t="n"/>
      <c r="B316" s="2" t="n"/>
      <c r="C316" s="2" t="n"/>
      <c r="D316" s="2" t="n"/>
    </row>
    <row r="317" ht="14.25" customHeight="1" s="46">
      <c r="A317" s="2" t="n"/>
      <c r="B317" s="2" t="n"/>
      <c r="C317" s="2" t="n"/>
      <c r="D317" s="2" t="n"/>
    </row>
    <row r="318" ht="14.25" customHeight="1" s="46">
      <c r="A318" s="2" t="n"/>
      <c r="B318" s="2" t="n"/>
      <c r="C318" s="2" t="n"/>
      <c r="D318" s="2" t="n"/>
    </row>
    <row r="319" ht="14.25" customHeight="1" s="46">
      <c r="A319" s="2" t="n"/>
      <c r="B319" s="2" t="n"/>
      <c r="C319" s="2" t="n"/>
      <c r="D319" s="2" t="n"/>
    </row>
    <row r="320" ht="14.25" customHeight="1" s="46">
      <c r="A320" s="2" t="n"/>
      <c r="B320" s="2" t="n"/>
      <c r="C320" s="2" t="n"/>
      <c r="D320" s="2" t="n"/>
    </row>
    <row r="321" ht="14.25" customHeight="1" s="46">
      <c r="A321" s="2" t="n"/>
      <c r="B321" s="2" t="n"/>
      <c r="C321" s="2" t="n"/>
      <c r="D321" s="2" t="n"/>
    </row>
    <row r="322" ht="14.25" customHeight="1" s="46">
      <c r="A322" s="2" t="n"/>
      <c r="B322" s="2" t="n"/>
      <c r="C322" s="2" t="n"/>
      <c r="D322" s="2" t="n"/>
    </row>
    <row r="323" ht="14.25" customHeight="1" s="46">
      <c r="A323" s="2" t="n"/>
      <c r="B323" s="2" t="n"/>
      <c r="C323" s="2" t="n"/>
      <c r="D323" s="2" t="n"/>
    </row>
    <row r="324" ht="14.25" customHeight="1" s="46">
      <c r="A324" s="2" t="n"/>
      <c r="B324" s="2" t="n"/>
      <c r="C324" s="2" t="n"/>
      <c r="D324" s="2" t="n"/>
    </row>
    <row r="325" ht="14.25" customHeight="1" s="46">
      <c r="A325" s="2" t="n"/>
      <c r="B325" s="2" t="n"/>
      <c r="C325" s="2" t="n"/>
      <c r="D325" s="2" t="n"/>
    </row>
    <row r="326" ht="14.25" customHeight="1" s="46">
      <c r="A326" s="2" t="n"/>
      <c r="B326" s="2" t="n"/>
      <c r="C326" s="2" t="n"/>
      <c r="D326" s="2" t="n"/>
    </row>
    <row r="327" ht="14.25" customHeight="1" s="46">
      <c r="A327" s="2" t="n"/>
      <c r="B327" s="2" t="n"/>
      <c r="C327" s="2" t="n"/>
      <c r="D327" s="2" t="n"/>
    </row>
    <row r="328" ht="14.25" customHeight="1" s="46">
      <c r="A328" s="2" t="n"/>
      <c r="B328" s="2" t="n"/>
      <c r="C328" s="2" t="n"/>
      <c r="D328" s="2" t="n"/>
    </row>
    <row r="329" ht="14.25" customHeight="1" s="46">
      <c r="A329" s="2" t="n"/>
      <c r="B329" s="2" t="n"/>
      <c r="C329" s="2" t="n"/>
      <c r="D329" s="2" t="n"/>
    </row>
    <row r="330" ht="14.25" customHeight="1" s="46">
      <c r="A330" s="2" t="n"/>
      <c r="B330" s="2" t="n"/>
      <c r="C330" s="2" t="n"/>
      <c r="D330" s="2" t="n"/>
    </row>
    <row r="331" ht="14.25" customHeight="1" s="46">
      <c r="A331" s="2" t="n"/>
      <c r="B331" s="2" t="n"/>
      <c r="C331" s="2" t="n"/>
      <c r="D331" s="2" t="n"/>
    </row>
    <row r="332" ht="14.25" customHeight="1" s="46">
      <c r="A332" s="2" t="n"/>
      <c r="B332" s="2" t="n"/>
      <c r="C332" s="2" t="n"/>
      <c r="D332" s="2" t="n"/>
    </row>
    <row r="333" ht="14.25" customHeight="1" s="46">
      <c r="A333" s="2" t="n"/>
      <c r="B333" s="2" t="n"/>
      <c r="C333" s="2" t="n"/>
      <c r="D333" s="2" t="n"/>
    </row>
    <row r="334" ht="14.25" customHeight="1" s="46">
      <c r="A334" s="2" t="n"/>
      <c r="B334" s="2" t="n"/>
      <c r="C334" s="2" t="n"/>
      <c r="D334" s="2" t="n"/>
    </row>
    <row r="335" ht="14.25" customHeight="1" s="46">
      <c r="A335" s="2" t="n"/>
      <c r="B335" s="2" t="n"/>
      <c r="C335" s="2" t="n"/>
      <c r="D335" s="2" t="n"/>
    </row>
    <row r="336" ht="14.25" customHeight="1" s="46">
      <c r="A336" s="2" t="n"/>
      <c r="B336" s="2" t="n"/>
      <c r="C336" s="2" t="n"/>
      <c r="D336" s="2" t="n"/>
    </row>
    <row r="337" ht="14.25" customHeight="1" s="46">
      <c r="A337" s="2" t="n"/>
      <c r="B337" s="2" t="n"/>
      <c r="C337" s="2" t="n"/>
      <c r="D337" s="2" t="n"/>
    </row>
    <row r="338" ht="14.25" customHeight="1" s="46">
      <c r="A338" s="2" t="n"/>
      <c r="B338" s="2" t="n"/>
      <c r="C338" s="2" t="n"/>
      <c r="D338" s="2" t="n"/>
    </row>
    <row r="339" ht="14.25" customHeight="1" s="46">
      <c r="A339" s="2" t="n"/>
      <c r="B339" s="2" t="n"/>
      <c r="C339" s="2" t="n"/>
      <c r="D339" s="2" t="n"/>
    </row>
    <row r="340" ht="14.25" customHeight="1" s="46">
      <c r="A340" s="2" t="n"/>
      <c r="B340" s="2" t="n"/>
      <c r="C340" s="2" t="n"/>
      <c r="D340" s="2" t="n"/>
    </row>
    <row r="341" ht="14.25" customHeight="1" s="46">
      <c r="A341" s="2" t="n"/>
      <c r="B341" s="2" t="n"/>
      <c r="C341" s="2" t="n"/>
      <c r="D341" s="2" t="n"/>
    </row>
    <row r="342" ht="14.25" customHeight="1" s="46">
      <c r="A342" s="2" t="n"/>
      <c r="B342" s="2" t="n"/>
      <c r="C342" s="2" t="n"/>
      <c r="D342" s="2" t="n"/>
    </row>
    <row r="343" ht="14.25" customHeight="1" s="46">
      <c r="A343" s="2" t="n"/>
      <c r="B343" s="2" t="n"/>
      <c r="C343" s="2" t="n"/>
      <c r="D343" s="2" t="n"/>
    </row>
    <row r="344" ht="14.25" customHeight="1" s="46">
      <c r="A344" s="2" t="n"/>
      <c r="B344" s="2" t="n"/>
      <c r="C344" s="2" t="n"/>
      <c r="D344" s="2" t="n"/>
    </row>
    <row r="345" ht="14.25" customHeight="1" s="46">
      <c r="A345" s="2" t="n"/>
      <c r="B345" s="2" t="n"/>
      <c r="C345" s="2" t="n"/>
      <c r="D345" s="2" t="n"/>
    </row>
    <row r="346" ht="14.25" customHeight="1" s="46">
      <c r="A346" s="2" t="n"/>
      <c r="B346" s="2" t="n"/>
      <c r="C346" s="2" t="n"/>
      <c r="D346" s="2" t="n"/>
    </row>
    <row r="347" ht="14.25" customHeight="1" s="46">
      <c r="A347" s="2" t="n"/>
      <c r="B347" s="2" t="n"/>
      <c r="C347" s="2" t="n"/>
      <c r="D347" s="2" t="n"/>
    </row>
    <row r="348" ht="14.25" customHeight="1" s="46">
      <c r="A348" s="2" t="n"/>
      <c r="B348" s="2" t="n"/>
      <c r="C348" s="2" t="n"/>
      <c r="D348" s="2" t="n"/>
    </row>
    <row r="349" ht="14.25" customHeight="1" s="46">
      <c r="A349" s="2" t="n"/>
      <c r="B349" s="2" t="n"/>
      <c r="C349" s="2" t="n"/>
      <c r="D349" s="2" t="n"/>
    </row>
    <row r="350" ht="14.25" customHeight="1" s="46">
      <c r="A350" s="2" t="n"/>
      <c r="B350" s="2" t="n"/>
      <c r="C350" s="2" t="n"/>
      <c r="D350" s="2" t="n"/>
    </row>
    <row r="351" ht="14.25" customHeight="1" s="46">
      <c r="A351" s="2" t="n"/>
      <c r="B351" s="2" t="n"/>
      <c r="C351" s="2" t="n"/>
      <c r="D351" s="2" t="n"/>
    </row>
    <row r="352" ht="14.25" customHeight="1" s="46">
      <c r="A352" s="2" t="n"/>
      <c r="B352" s="2" t="n"/>
      <c r="C352" s="2" t="n"/>
      <c r="D352" s="2" t="n"/>
    </row>
    <row r="353" ht="14.25" customHeight="1" s="46">
      <c r="A353" s="2" t="n"/>
      <c r="B353" s="2" t="n"/>
      <c r="C353" s="2" t="n"/>
      <c r="D353" s="2" t="n"/>
    </row>
    <row r="354" ht="14.25" customHeight="1" s="46">
      <c r="A354" s="2" t="n"/>
      <c r="B354" s="2" t="n"/>
      <c r="C354" s="2" t="n"/>
      <c r="D354" s="2" t="n"/>
    </row>
    <row r="355" ht="14.25" customHeight="1" s="46">
      <c r="A355" s="2" t="n"/>
      <c r="B355" s="2" t="n"/>
      <c r="C355" s="2" t="n"/>
      <c r="D355" s="2" t="n"/>
    </row>
    <row r="356" ht="14.25" customHeight="1" s="46">
      <c r="A356" s="2" t="n"/>
      <c r="B356" s="2" t="n"/>
      <c r="C356" s="2" t="n"/>
      <c r="D356" s="2" t="n"/>
    </row>
    <row r="357" ht="14.25" customHeight="1" s="46">
      <c r="A357" s="2" t="n"/>
      <c r="B357" s="2" t="n"/>
      <c r="C357" s="2" t="n"/>
      <c r="D357" s="2" t="n"/>
    </row>
    <row r="358" ht="14.25" customHeight="1" s="46">
      <c r="A358" s="2" t="n"/>
      <c r="B358" s="2" t="n"/>
      <c r="C358" s="2" t="n"/>
      <c r="D358" s="2" t="n"/>
    </row>
    <row r="359" ht="14.25" customHeight="1" s="46">
      <c r="A359" s="2" t="n"/>
      <c r="B359" s="2" t="n"/>
      <c r="C359" s="2" t="n"/>
      <c r="D359" s="2" t="n"/>
    </row>
    <row r="360" ht="14.25" customHeight="1" s="46">
      <c r="A360" s="2" t="n"/>
      <c r="B360" s="2" t="n"/>
      <c r="C360" s="2" t="n"/>
      <c r="D360" s="2" t="n"/>
    </row>
    <row r="361" ht="14.25" customHeight="1" s="46">
      <c r="A361" s="2" t="n"/>
      <c r="B361" s="2" t="n"/>
      <c r="C361" s="2" t="n"/>
      <c r="D361" s="2" t="n"/>
    </row>
    <row r="362" ht="14.25" customHeight="1" s="46">
      <c r="A362" s="2" t="n"/>
      <c r="B362" s="2" t="n"/>
      <c r="C362" s="2" t="n"/>
      <c r="D362" s="2" t="n"/>
    </row>
    <row r="363" ht="14.25" customHeight="1" s="46">
      <c r="A363" s="2" t="n"/>
      <c r="B363" s="2" t="n"/>
      <c r="C363" s="2" t="n"/>
      <c r="D363" s="2" t="n"/>
    </row>
    <row r="364" ht="14.25" customHeight="1" s="46">
      <c r="A364" s="2" t="n"/>
      <c r="B364" s="2" t="n"/>
      <c r="C364" s="2" t="n"/>
      <c r="D364" s="2" t="n"/>
    </row>
    <row r="365" ht="14.25" customHeight="1" s="46">
      <c r="A365" s="2" t="n"/>
      <c r="B365" s="2" t="n"/>
      <c r="C365" s="2" t="n"/>
      <c r="D365" s="2" t="n"/>
    </row>
    <row r="366" ht="14.25" customHeight="1" s="46">
      <c r="A366" s="2" t="n"/>
      <c r="B366" s="2" t="n"/>
      <c r="C366" s="2" t="n"/>
      <c r="D366" s="2" t="n"/>
    </row>
    <row r="367" ht="14.25" customHeight="1" s="46">
      <c r="A367" s="2" t="n"/>
      <c r="B367" s="2" t="n"/>
      <c r="C367" s="2" t="n"/>
      <c r="D367" s="2" t="n"/>
    </row>
    <row r="368" ht="14.25" customHeight="1" s="46">
      <c r="A368" s="2" t="n"/>
      <c r="B368" s="2" t="n"/>
      <c r="C368" s="2" t="n"/>
      <c r="D368" s="2" t="n"/>
    </row>
    <row r="369" ht="14.25" customHeight="1" s="46">
      <c r="A369" s="2" t="n"/>
      <c r="B369" s="2" t="n"/>
      <c r="C369" s="2" t="n"/>
      <c r="D369" s="2" t="n"/>
    </row>
    <row r="370" ht="14.25" customHeight="1" s="46">
      <c r="A370" s="2" t="n"/>
      <c r="B370" s="2" t="n"/>
      <c r="C370" s="2" t="n"/>
      <c r="D370" s="2" t="n"/>
    </row>
    <row r="371" ht="14.25" customHeight="1" s="46">
      <c r="A371" s="2" t="n"/>
      <c r="B371" s="2" t="n"/>
      <c r="C371" s="2" t="n"/>
      <c r="D371" s="2" t="n"/>
    </row>
    <row r="372" ht="14.25" customHeight="1" s="46">
      <c r="A372" s="2" t="n"/>
      <c r="B372" s="2" t="n"/>
      <c r="C372" s="2" t="n"/>
      <c r="D372" s="2" t="n"/>
    </row>
    <row r="373" ht="14.25" customHeight="1" s="46">
      <c r="A373" s="2" t="n"/>
      <c r="B373" s="2" t="n"/>
      <c r="C373" s="2" t="n"/>
      <c r="D373" s="2" t="n"/>
    </row>
    <row r="374" ht="14.25" customHeight="1" s="46">
      <c r="A374" s="2" t="n"/>
      <c r="B374" s="2" t="n"/>
      <c r="C374" s="2" t="n"/>
      <c r="D374" s="2" t="n"/>
    </row>
    <row r="375" ht="14.25" customHeight="1" s="46">
      <c r="A375" s="2" t="n"/>
      <c r="B375" s="2" t="n"/>
      <c r="C375" s="2" t="n"/>
      <c r="D375" s="2" t="n"/>
    </row>
    <row r="376" ht="14.25" customHeight="1" s="46">
      <c r="A376" s="2" t="n"/>
      <c r="B376" s="2" t="n"/>
      <c r="C376" s="2" t="n"/>
      <c r="D376" s="2" t="n"/>
    </row>
    <row r="377" ht="14.25" customHeight="1" s="46">
      <c r="A377" s="2" t="n"/>
      <c r="B377" s="2" t="n"/>
      <c r="C377" s="2" t="n"/>
      <c r="D377" s="2" t="n"/>
    </row>
    <row r="378" ht="14.25" customHeight="1" s="46">
      <c r="A378" s="2" t="n"/>
      <c r="B378" s="2" t="n"/>
      <c r="C378" s="2" t="n"/>
      <c r="D378" s="2" t="n"/>
    </row>
    <row r="379" ht="14.25" customHeight="1" s="46">
      <c r="A379" s="2" t="n"/>
      <c r="B379" s="2" t="n"/>
      <c r="C379" s="2" t="n"/>
      <c r="D379" s="2" t="n"/>
    </row>
    <row r="380" ht="14.25" customHeight="1" s="46">
      <c r="A380" s="2" t="n"/>
      <c r="B380" s="2" t="n"/>
      <c r="C380" s="2" t="n"/>
      <c r="D380" s="2" t="n"/>
    </row>
    <row r="381" ht="14.25" customHeight="1" s="46">
      <c r="A381" s="2" t="n"/>
      <c r="B381" s="2" t="n"/>
      <c r="C381" s="2" t="n"/>
      <c r="D381" s="2" t="n"/>
    </row>
    <row r="382" ht="14.25" customHeight="1" s="46">
      <c r="A382" s="2" t="n"/>
      <c r="B382" s="2" t="n"/>
      <c r="C382" s="2" t="n"/>
      <c r="D382" s="2" t="n"/>
    </row>
    <row r="383" ht="14.25" customHeight="1" s="46">
      <c r="A383" s="2" t="n"/>
      <c r="B383" s="2" t="n"/>
      <c r="C383" s="2" t="n"/>
      <c r="D383" s="2" t="n"/>
    </row>
    <row r="384" ht="14.25" customHeight="1" s="46">
      <c r="A384" s="2" t="n"/>
      <c r="B384" s="2" t="n"/>
      <c r="C384" s="2" t="n"/>
      <c r="D384" s="2" t="n"/>
    </row>
    <row r="385" ht="14.25" customHeight="1" s="46">
      <c r="A385" s="2" t="n"/>
      <c r="B385" s="2" t="n"/>
      <c r="C385" s="2" t="n"/>
      <c r="D385" s="2" t="n"/>
    </row>
    <row r="386" ht="14.25" customHeight="1" s="46">
      <c r="A386" s="2" t="n"/>
      <c r="B386" s="2" t="n"/>
      <c r="C386" s="2" t="n"/>
      <c r="D386" s="2" t="n"/>
    </row>
    <row r="387" ht="14.25" customHeight="1" s="46">
      <c r="A387" s="2" t="n"/>
      <c r="B387" s="2" t="n"/>
      <c r="C387" s="2" t="n"/>
      <c r="D387" s="2" t="n"/>
    </row>
    <row r="388" ht="14.25" customHeight="1" s="46">
      <c r="A388" s="2" t="n"/>
      <c r="B388" s="2" t="n"/>
      <c r="C388" s="2" t="n"/>
      <c r="D388" s="2" t="n"/>
    </row>
    <row r="389" ht="14.25" customHeight="1" s="46">
      <c r="A389" s="2" t="n"/>
      <c r="B389" s="2" t="n"/>
      <c r="C389" s="2" t="n"/>
      <c r="D389" s="2" t="n"/>
    </row>
    <row r="390" ht="14.25" customHeight="1" s="46">
      <c r="A390" s="2" t="n"/>
      <c r="B390" s="2" t="n"/>
      <c r="C390" s="2" t="n"/>
      <c r="D390" s="2" t="n"/>
    </row>
    <row r="391" ht="14.25" customHeight="1" s="46">
      <c r="A391" s="2" t="n"/>
      <c r="B391" s="2" t="n"/>
      <c r="C391" s="2" t="n"/>
      <c r="D391" s="2" t="n"/>
    </row>
    <row r="392" ht="14.25" customHeight="1" s="46">
      <c r="A392" s="2" t="n"/>
      <c r="B392" s="2" t="n"/>
      <c r="C392" s="2" t="n"/>
      <c r="D392" s="2" t="n"/>
    </row>
    <row r="393" ht="14.25" customHeight="1" s="46">
      <c r="A393" s="2" t="n"/>
      <c r="B393" s="2" t="n"/>
      <c r="C393" s="2" t="n"/>
      <c r="D393" s="2" t="n"/>
    </row>
    <row r="394" ht="14.25" customHeight="1" s="46">
      <c r="A394" s="2" t="n"/>
      <c r="B394" s="2" t="n"/>
      <c r="C394" s="2" t="n"/>
      <c r="D394" s="2" t="n"/>
    </row>
    <row r="395" ht="14.25" customHeight="1" s="46">
      <c r="A395" s="2" t="n"/>
      <c r="B395" s="2" t="n"/>
      <c r="C395" s="2" t="n"/>
      <c r="D395" s="2" t="n"/>
    </row>
    <row r="396" ht="14.25" customHeight="1" s="46">
      <c r="A396" s="2" t="n"/>
      <c r="B396" s="2" t="n"/>
      <c r="C396" s="2" t="n"/>
      <c r="D396" s="2" t="n"/>
    </row>
    <row r="397" ht="14.25" customHeight="1" s="46">
      <c r="A397" s="2" t="n"/>
      <c r="B397" s="2" t="n"/>
      <c r="C397" s="2" t="n"/>
      <c r="D397" s="2" t="n"/>
    </row>
    <row r="398" ht="14.25" customHeight="1" s="46">
      <c r="A398" s="2" t="n"/>
      <c r="B398" s="2" t="n"/>
      <c r="C398" s="2" t="n"/>
      <c r="D398" s="2" t="n"/>
    </row>
    <row r="399" ht="14.25" customHeight="1" s="46">
      <c r="A399" s="2" t="n"/>
      <c r="B399" s="2" t="n"/>
      <c r="C399" s="2" t="n"/>
      <c r="D399" s="2" t="n"/>
    </row>
    <row r="400" ht="14.25" customHeight="1" s="46">
      <c r="A400" s="2" t="n"/>
      <c r="B400" s="2" t="n"/>
      <c r="C400" s="2" t="n"/>
      <c r="D400" s="2" t="n"/>
    </row>
    <row r="401" ht="14.25" customHeight="1" s="46">
      <c r="A401" s="2" t="n"/>
      <c r="B401" s="2" t="n"/>
      <c r="C401" s="2" t="n"/>
      <c r="D401" s="2" t="n"/>
    </row>
    <row r="402" ht="14.25" customHeight="1" s="46">
      <c r="A402" s="2" t="n"/>
      <c r="B402" s="2" t="n"/>
      <c r="C402" s="2" t="n"/>
      <c r="D402" s="2" t="n"/>
    </row>
    <row r="403" ht="14.25" customHeight="1" s="46">
      <c r="A403" s="2" t="n"/>
      <c r="B403" s="2" t="n"/>
      <c r="C403" s="2" t="n"/>
      <c r="D403" s="2" t="n"/>
    </row>
    <row r="404" ht="14.25" customHeight="1" s="46">
      <c r="A404" s="2" t="n"/>
      <c r="B404" s="2" t="n"/>
      <c r="C404" s="2" t="n"/>
      <c r="D404" s="2" t="n"/>
    </row>
    <row r="405" ht="14.25" customHeight="1" s="46">
      <c r="A405" s="2" t="n"/>
      <c r="B405" s="2" t="n"/>
      <c r="C405" s="2" t="n"/>
      <c r="D405" s="2" t="n"/>
    </row>
    <row r="406" ht="14.25" customHeight="1" s="46">
      <c r="A406" s="2" t="n"/>
      <c r="B406" s="2" t="n"/>
      <c r="C406" s="2" t="n"/>
      <c r="D406" s="2" t="n"/>
    </row>
    <row r="407" ht="14.25" customHeight="1" s="46">
      <c r="A407" s="2" t="n"/>
      <c r="B407" s="2" t="n"/>
      <c r="C407" s="2" t="n"/>
      <c r="D407" s="2" t="n"/>
    </row>
    <row r="408" ht="14.25" customHeight="1" s="46">
      <c r="A408" s="2" t="n"/>
      <c r="B408" s="2" t="n"/>
      <c r="C408" s="2" t="n"/>
      <c r="D408" s="2" t="n"/>
    </row>
    <row r="409" ht="14.25" customHeight="1" s="46">
      <c r="A409" s="2" t="n"/>
      <c r="B409" s="2" t="n"/>
      <c r="C409" s="2" t="n"/>
      <c r="D409" s="2" t="n"/>
    </row>
    <row r="410" ht="14.25" customHeight="1" s="46">
      <c r="A410" s="2" t="n"/>
      <c r="B410" s="2" t="n"/>
      <c r="C410" s="2" t="n"/>
      <c r="D410" s="2" t="n"/>
    </row>
    <row r="411" ht="14.25" customHeight="1" s="46">
      <c r="A411" s="2" t="n"/>
      <c r="B411" s="2" t="n"/>
      <c r="C411" s="2" t="n"/>
      <c r="D411" s="2" t="n"/>
    </row>
    <row r="412" ht="14.25" customHeight="1" s="46">
      <c r="A412" s="2" t="n"/>
      <c r="B412" s="2" t="n"/>
      <c r="C412" s="2" t="n"/>
      <c r="D412" s="2" t="n"/>
    </row>
    <row r="413" ht="14.25" customHeight="1" s="46">
      <c r="A413" s="2" t="n"/>
      <c r="B413" s="2" t="n"/>
      <c r="C413" s="2" t="n"/>
      <c r="D413" s="2" t="n"/>
    </row>
    <row r="414" ht="14.25" customHeight="1" s="46">
      <c r="A414" s="2" t="n"/>
      <c r="B414" s="2" t="n"/>
      <c r="C414" s="2" t="n"/>
      <c r="D414" s="2" t="n"/>
    </row>
    <row r="415" ht="14.25" customHeight="1" s="46">
      <c r="A415" s="2" t="n"/>
      <c r="B415" s="2" t="n"/>
      <c r="C415" s="2" t="n"/>
      <c r="D415" s="2" t="n"/>
    </row>
    <row r="416" ht="14.25" customHeight="1" s="46">
      <c r="A416" s="2" t="n"/>
      <c r="B416" s="2" t="n"/>
      <c r="C416" s="2" t="n"/>
      <c r="D416" s="2" t="n"/>
    </row>
    <row r="417" ht="14.25" customHeight="1" s="46">
      <c r="A417" s="2" t="n"/>
      <c r="B417" s="2" t="n"/>
      <c r="C417" s="2" t="n"/>
      <c r="D417" s="2" t="n"/>
    </row>
    <row r="418" ht="14.25" customHeight="1" s="46">
      <c r="A418" s="2" t="n"/>
      <c r="B418" s="2" t="n"/>
      <c r="C418" s="2" t="n"/>
      <c r="D418" s="2" t="n"/>
    </row>
    <row r="419" ht="14.25" customHeight="1" s="46">
      <c r="A419" s="2" t="n"/>
      <c r="B419" s="2" t="n"/>
      <c r="C419" s="2" t="n"/>
      <c r="D419" s="2" t="n"/>
    </row>
    <row r="420" ht="14.25" customHeight="1" s="46">
      <c r="A420" s="2" t="n"/>
      <c r="B420" s="2" t="n"/>
      <c r="C420" s="2" t="n"/>
      <c r="D420" s="2" t="n"/>
    </row>
    <row r="421" ht="14.25" customHeight="1" s="46">
      <c r="A421" s="2" t="n"/>
      <c r="B421" s="2" t="n"/>
      <c r="C421" s="2" t="n"/>
      <c r="D421" s="2" t="n"/>
    </row>
    <row r="422" ht="14.25" customHeight="1" s="46">
      <c r="A422" s="2" t="n"/>
      <c r="B422" s="2" t="n"/>
      <c r="C422" s="2" t="n"/>
      <c r="D422" s="2" t="n"/>
    </row>
    <row r="423" ht="14.25" customHeight="1" s="46">
      <c r="A423" s="2" t="n"/>
      <c r="B423" s="2" t="n"/>
      <c r="C423" s="2" t="n"/>
      <c r="D423" s="2" t="n"/>
    </row>
    <row r="424" ht="14.25" customHeight="1" s="46">
      <c r="A424" s="2" t="n"/>
      <c r="B424" s="2" t="n"/>
      <c r="C424" s="2" t="n"/>
      <c r="D424" s="2" t="n"/>
    </row>
    <row r="425" ht="14.25" customHeight="1" s="46">
      <c r="A425" s="2" t="n"/>
      <c r="B425" s="2" t="n"/>
      <c r="C425" s="2" t="n"/>
      <c r="D425" s="2" t="n"/>
    </row>
    <row r="426" ht="14.25" customHeight="1" s="46">
      <c r="A426" s="2" t="n"/>
      <c r="B426" s="2" t="n"/>
      <c r="C426" s="2" t="n"/>
      <c r="D426" s="2" t="n"/>
    </row>
    <row r="427" ht="14.25" customHeight="1" s="46">
      <c r="A427" s="2" t="n"/>
      <c r="B427" s="2" t="n"/>
      <c r="C427" s="2" t="n"/>
      <c r="D427" s="2" t="n"/>
    </row>
    <row r="428" ht="14.25" customHeight="1" s="46">
      <c r="A428" s="2" t="n"/>
      <c r="B428" s="2" t="n"/>
      <c r="C428" s="2" t="n"/>
      <c r="D428" s="2" t="n"/>
    </row>
    <row r="429" ht="14.25" customHeight="1" s="46">
      <c r="A429" s="2" t="n"/>
      <c r="B429" s="2" t="n"/>
      <c r="C429" s="2" t="n"/>
      <c r="D429" s="2" t="n"/>
    </row>
    <row r="430" ht="14.25" customHeight="1" s="46">
      <c r="A430" s="2" t="n"/>
      <c r="B430" s="2" t="n"/>
      <c r="C430" s="2" t="n"/>
      <c r="D430" s="2" t="n"/>
    </row>
    <row r="431" ht="14.25" customHeight="1" s="46">
      <c r="A431" s="2" t="n"/>
      <c r="B431" s="2" t="n"/>
      <c r="C431" s="2" t="n"/>
      <c r="D431" s="2" t="n"/>
    </row>
    <row r="432" ht="14.25" customHeight="1" s="46">
      <c r="A432" s="2" t="n"/>
      <c r="B432" s="2" t="n"/>
      <c r="C432" s="2" t="n"/>
      <c r="D432" s="2" t="n"/>
    </row>
    <row r="433" ht="14.25" customHeight="1" s="46">
      <c r="A433" s="2" t="n"/>
      <c r="B433" s="2" t="n"/>
      <c r="C433" s="2" t="n"/>
      <c r="D433" s="2" t="n"/>
    </row>
    <row r="434" ht="14.25" customHeight="1" s="46">
      <c r="A434" s="2" t="n"/>
      <c r="B434" s="2" t="n"/>
      <c r="C434" s="2" t="n"/>
      <c r="D434" s="2" t="n"/>
    </row>
    <row r="435" ht="14.25" customHeight="1" s="46">
      <c r="A435" s="2" t="n"/>
      <c r="B435" s="2" t="n"/>
      <c r="C435" s="2" t="n"/>
      <c r="D435" s="2" t="n"/>
    </row>
    <row r="436" ht="14.25" customHeight="1" s="46">
      <c r="A436" s="2" t="n"/>
      <c r="B436" s="2" t="n"/>
      <c r="C436" s="2" t="n"/>
      <c r="D436" s="2" t="n"/>
    </row>
    <row r="437" ht="14.25" customHeight="1" s="46">
      <c r="A437" s="2" t="n"/>
      <c r="B437" s="2" t="n"/>
      <c r="C437" s="2" t="n"/>
      <c r="D437" s="2" t="n"/>
    </row>
    <row r="438" ht="14.25" customHeight="1" s="46">
      <c r="A438" s="2" t="n"/>
      <c r="B438" s="2" t="n"/>
      <c r="C438" s="2" t="n"/>
      <c r="D438" s="2" t="n"/>
    </row>
    <row r="439" ht="14.25" customHeight="1" s="46">
      <c r="A439" s="2" t="n"/>
      <c r="B439" s="2" t="n"/>
      <c r="C439" s="2" t="n"/>
      <c r="D439" s="2" t="n"/>
    </row>
    <row r="440" ht="14.25" customHeight="1" s="46">
      <c r="A440" s="2" t="n"/>
      <c r="B440" s="2" t="n"/>
      <c r="C440" s="2" t="n"/>
      <c r="D440" s="2" t="n"/>
    </row>
    <row r="441" ht="14.25" customHeight="1" s="46">
      <c r="A441" s="2" t="n"/>
      <c r="B441" s="2" t="n"/>
      <c r="C441" s="2" t="n"/>
      <c r="D441" s="2" t="n"/>
    </row>
    <row r="442" ht="14.25" customHeight="1" s="46">
      <c r="A442" s="2" t="n"/>
      <c r="B442" s="2" t="n"/>
      <c r="C442" s="2" t="n"/>
      <c r="D442" s="2" t="n"/>
    </row>
    <row r="443" ht="14.25" customHeight="1" s="46">
      <c r="A443" s="2" t="n"/>
      <c r="B443" s="2" t="n"/>
      <c r="C443" s="2" t="n"/>
      <c r="D443" s="2" t="n"/>
    </row>
    <row r="444" ht="14.25" customHeight="1" s="46">
      <c r="A444" s="2" t="n"/>
      <c r="B444" s="2" t="n"/>
      <c r="C444" s="2" t="n"/>
      <c r="D444" s="2" t="n"/>
    </row>
    <row r="445" ht="14.25" customHeight="1" s="46">
      <c r="A445" s="2" t="n"/>
      <c r="B445" s="2" t="n"/>
      <c r="C445" s="2" t="n"/>
      <c r="D445" s="2" t="n"/>
    </row>
    <row r="446" ht="14.25" customHeight="1" s="46">
      <c r="A446" s="2" t="n"/>
      <c r="B446" s="2" t="n"/>
      <c r="C446" s="2" t="n"/>
      <c r="D446" s="2" t="n"/>
    </row>
    <row r="447" ht="14.25" customHeight="1" s="46">
      <c r="A447" s="2" t="n"/>
      <c r="B447" s="2" t="n"/>
      <c r="C447" s="2" t="n"/>
      <c r="D447" s="2" t="n"/>
    </row>
    <row r="448" ht="14.25" customHeight="1" s="46">
      <c r="A448" s="2" t="n"/>
      <c r="B448" s="2" t="n"/>
      <c r="C448" s="2" t="n"/>
      <c r="D448" s="2" t="n"/>
    </row>
    <row r="449" ht="14.25" customHeight="1" s="46">
      <c r="A449" s="2" t="n"/>
      <c r="B449" s="2" t="n"/>
      <c r="C449" s="2" t="n"/>
      <c r="D449" s="2" t="n"/>
    </row>
    <row r="450" ht="14.25" customHeight="1" s="46">
      <c r="A450" s="2" t="n"/>
      <c r="B450" s="2" t="n"/>
      <c r="C450" s="2" t="n"/>
      <c r="D450" s="2" t="n"/>
    </row>
    <row r="451" ht="14.25" customHeight="1" s="46">
      <c r="A451" s="2" t="n"/>
      <c r="B451" s="2" t="n"/>
      <c r="C451" s="2" t="n"/>
      <c r="D451" s="2" t="n"/>
    </row>
    <row r="452" ht="14.25" customHeight="1" s="46">
      <c r="A452" s="2" t="n"/>
      <c r="B452" s="2" t="n"/>
      <c r="C452" s="2" t="n"/>
      <c r="D452" s="2" t="n"/>
    </row>
    <row r="453" ht="14.25" customHeight="1" s="46">
      <c r="A453" s="2" t="n"/>
      <c r="B453" s="2" t="n"/>
      <c r="C453" s="2" t="n"/>
      <c r="D453" s="2" t="n"/>
    </row>
    <row r="454" ht="14.25" customHeight="1" s="46">
      <c r="A454" s="2" t="n"/>
      <c r="B454" s="2" t="n"/>
      <c r="C454" s="2" t="n"/>
      <c r="D454" s="2" t="n"/>
    </row>
    <row r="455" ht="14.25" customHeight="1" s="46">
      <c r="A455" s="2" t="n"/>
      <c r="B455" s="2" t="n"/>
      <c r="C455" s="2" t="n"/>
      <c r="D455" s="2" t="n"/>
    </row>
    <row r="456" ht="14.25" customHeight="1" s="46">
      <c r="A456" s="2" t="n"/>
      <c r="B456" s="2" t="n"/>
      <c r="C456" s="2" t="n"/>
      <c r="D456" s="2" t="n"/>
    </row>
    <row r="457" ht="14.25" customHeight="1" s="46">
      <c r="A457" s="2" t="n"/>
      <c r="B457" s="2" t="n"/>
      <c r="C457" s="2" t="n"/>
      <c r="D457" s="2" t="n"/>
    </row>
    <row r="458" ht="14.25" customHeight="1" s="46">
      <c r="A458" s="2" t="n"/>
      <c r="B458" s="2" t="n"/>
      <c r="C458" s="2" t="n"/>
      <c r="D458" s="2" t="n"/>
    </row>
    <row r="459" ht="14.25" customHeight="1" s="46">
      <c r="A459" s="2" t="n"/>
      <c r="B459" s="2" t="n"/>
      <c r="C459" s="2" t="n"/>
      <c r="D459" s="2" t="n"/>
    </row>
    <row r="460" ht="14.25" customHeight="1" s="46">
      <c r="A460" s="2" t="n"/>
      <c r="B460" s="2" t="n"/>
      <c r="C460" s="2" t="n"/>
      <c r="D460" s="2" t="n"/>
    </row>
    <row r="461" ht="14.25" customHeight="1" s="46">
      <c r="A461" s="2" t="n"/>
      <c r="B461" s="2" t="n"/>
      <c r="C461" s="2" t="n"/>
      <c r="D461" s="2" t="n"/>
    </row>
    <row r="462" ht="14.25" customHeight="1" s="46">
      <c r="A462" s="2" t="n"/>
      <c r="B462" s="2" t="n"/>
      <c r="C462" s="2" t="n"/>
      <c r="D462" s="2" t="n"/>
    </row>
    <row r="463" ht="14.25" customHeight="1" s="46">
      <c r="A463" s="2" t="n"/>
      <c r="B463" s="2" t="n"/>
      <c r="C463" s="2" t="n"/>
      <c r="D463" s="2" t="n"/>
    </row>
    <row r="464" ht="14.25" customHeight="1" s="46">
      <c r="A464" s="2" t="n"/>
      <c r="B464" s="2" t="n"/>
      <c r="C464" s="2" t="n"/>
      <c r="D464" s="2" t="n"/>
    </row>
    <row r="465" ht="14.25" customHeight="1" s="46">
      <c r="A465" s="2" t="n"/>
      <c r="B465" s="2" t="n"/>
      <c r="C465" s="2" t="n"/>
      <c r="D465" s="2" t="n"/>
    </row>
    <row r="466" ht="14.25" customHeight="1" s="46">
      <c r="A466" s="2" t="n"/>
      <c r="B466" s="2" t="n"/>
      <c r="C466" s="2" t="n"/>
      <c r="D466" s="2" t="n"/>
    </row>
    <row r="467" ht="14.25" customHeight="1" s="46">
      <c r="A467" s="2" t="n"/>
      <c r="B467" s="2" t="n"/>
      <c r="C467" s="2" t="n"/>
      <c r="D467" s="2" t="n"/>
    </row>
    <row r="468" ht="14.25" customHeight="1" s="46">
      <c r="A468" s="2" t="n"/>
      <c r="B468" s="2" t="n"/>
      <c r="C468" s="2" t="n"/>
      <c r="D468" s="2" t="n"/>
    </row>
    <row r="469" ht="14.25" customHeight="1" s="46">
      <c r="A469" s="2" t="n"/>
      <c r="B469" s="2" t="n"/>
      <c r="C469" s="2" t="n"/>
      <c r="D469" s="2" t="n"/>
    </row>
    <row r="470" ht="14.25" customHeight="1" s="46">
      <c r="A470" s="2" t="n"/>
      <c r="B470" s="2" t="n"/>
      <c r="C470" s="2" t="n"/>
      <c r="D470" s="2" t="n"/>
    </row>
    <row r="471" ht="14.25" customHeight="1" s="46">
      <c r="A471" s="2" t="n"/>
      <c r="B471" s="2" t="n"/>
      <c r="C471" s="2" t="n"/>
      <c r="D471" s="2" t="n"/>
    </row>
    <row r="472" ht="14.25" customHeight="1" s="46">
      <c r="A472" s="2" t="n"/>
      <c r="B472" s="2" t="n"/>
      <c r="C472" s="2" t="n"/>
      <c r="D472" s="2" t="n"/>
    </row>
    <row r="473" ht="14.25" customHeight="1" s="46">
      <c r="A473" s="2" t="n"/>
      <c r="B473" s="2" t="n"/>
      <c r="C473" s="2" t="n"/>
      <c r="D473" s="2" t="n"/>
    </row>
    <row r="474" ht="14.25" customHeight="1" s="46">
      <c r="A474" s="2" t="n"/>
      <c r="B474" s="2" t="n"/>
      <c r="C474" s="2" t="n"/>
      <c r="D474" s="2" t="n"/>
    </row>
    <row r="475" ht="14.25" customHeight="1" s="46">
      <c r="A475" s="2" t="n"/>
      <c r="B475" s="2" t="n"/>
      <c r="C475" s="2" t="n"/>
      <c r="D475" s="2" t="n"/>
    </row>
    <row r="476" ht="14.25" customHeight="1" s="46">
      <c r="A476" s="2" t="n"/>
      <c r="B476" s="2" t="n"/>
      <c r="C476" s="2" t="n"/>
      <c r="D476" s="2" t="n"/>
    </row>
    <row r="477" ht="14.25" customHeight="1" s="46">
      <c r="A477" s="2" t="n"/>
      <c r="B477" s="2" t="n"/>
      <c r="C477" s="2" t="n"/>
      <c r="D477" s="2" t="n"/>
    </row>
    <row r="478" ht="14.25" customHeight="1" s="46">
      <c r="A478" s="2" t="n"/>
      <c r="B478" s="2" t="n"/>
      <c r="C478" s="2" t="n"/>
      <c r="D478" s="2" t="n"/>
    </row>
    <row r="479" ht="14.25" customHeight="1" s="46">
      <c r="A479" s="2" t="n"/>
      <c r="B479" s="2" t="n"/>
      <c r="C479" s="2" t="n"/>
      <c r="D479" s="2" t="n"/>
    </row>
    <row r="480" ht="14.25" customHeight="1" s="46">
      <c r="A480" s="2" t="n"/>
      <c r="B480" s="2" t="n"/>
      <c r="C480" s="2" t="n"/>
      <c r="D480" s="2" t="n"/>
    </row>
    <row r="481" ht="14.25" customHeight="1" s="46">
      <c r="A481" s="2" t="n"/>
      <c r="B481" s="2" t="n"/>
      <c r="C481" s="2" t="n"/>
      <c r="D481" s="2" t="n"/>
    </row>
    <row r="482" ht="14.25" customHeight="1" s="46">
      <c r="A482" s="2" t="n"/>
      <c r="B482" s="2" t="n"/>
      <c r="C482" s="2" t="n"/>
      <c r="D482" s="2" t="n"/>
    </row>
    <row r="483" ht="14.25" customHeight="1" s="46">
      <c r="A483" s="2" t="n"/>
      <c r="B483" s="2" t="n"/>
      <c r="C483" s="2" t="n"/>
      <c r="D483" s="2" t="n"/>
    </row>
    <row r="484" ht="14.25" customHeight="1" s="46">
      <c r="A484" s="2" t="n"/>
      <c r="B484" s="2" t="n"/>
      <c r="C484" s="2" t="n"/>
      <c r="D484" s="2" t="n"/>
    </row>
    <row r="485" ht="14.25" customHeight="1" s="46">
      <c r="A485" s="2" t="n"/>
      <c r="B485" s="2" t="n"/>
      <c r="C485" s="2" t="n"/>
      <c r="D485" s="2" t="n"/>
    </row>
    <row r="486" ht="14.25" customHeight="1" s="46">
      <c r="A486" s="2" t="n"/>
      <c r="B486" s="2" t="n"/>
      <c r="C486" s="2" t="n"/>
      <c r="D486" s="2" t="n"/>
    </row>
    <row r="487" ht="14.25" customHeight="1" s="46">
      <c r="A487" s="2" t="n"/>
      <c r="B487" s="2" t="n"/>
      <c r="C487" s="2" t="n"/>
      <c r="D487" s="2" t="n"/>
    </row>
    <row r="488" ht="14.25" customHeight="1" s="46">
      <c r="A488" s="2" t="n"/>
      <c r="B488" s="2" t="n"/>
      <c r="C488" s="2" t="n"/>
      <c r="D488" s="2" t="n"/>
    </row>
    <row r="489" ht="14.25" customHeight="1" s="46">
      <c r="A489" s="2" t="n"/>
      <c r="B489" s="2" t="n"/>
      <c r="C489" s="2" t="n"/>
      <c r="D489" s="2" t="n"/>
    </row>
    <row r="490" ht="14.25" customHeight="1" s="46">
      <c r="A490" s="2" t="n"/>
      <c r="B490" s="2" t="n"/>
      <c r="C490" s="2" t="n"/>
      <c r="D490" s="2" t="n"/>
    </row>
    <row r="491" ht="14.25" customHeight="1" s="46">
      <c r="A491" s="2" t="n"/>
      <c r="B491" s="2" t="n"/>
      <c r="C491" s="2" t="n"/>
      <c r="D491" s="2" t="n"/>
    </row>
    <row r="492" ht="14.25" customHeight="1" s="46">
      <c r="A492" s="2" t="n"/>
      <c r="B492" s="2" t="n"/>
      <c r="C492" s="2" t="n"/>
      <c r="D492" s="2" t="n"/>
    </row>
    <row r="493" ht="14.25" customHeight="1" s="46">
      <c r="A493" s="2" t="n"/>
      <c r="B493" s="2" t="n"/>
      <c r="C493" s="2" t="n"/>
      <c r="D493" s="2" t="n"/>
    </row>
    <row r="494" ht="14.25" customHeight="1" s="46">
      <c r="A494" s="2" t="n"/>
      <c r="B494" s="2" t="n"/>
      <c r="C494" s="2" t="n"/>
      <c r="D494" s="2" t="n"/>
    </row>
    <row r="495" ht="14.25" customHeight="1" s="46">
      <c r="A495" s="2" t="n"/>
      <c r="B495" s="2" t="n"/>
      <c r="C495" s="2" t="n"/>
      <c r="D495" s="2" t="n"/>
    </row>
    <row r="496" ht="14.25" customHeight="1" s="46">
      <c r="A496" s="2" t="n"/>
      <c r="B496" s="2" t="n"/>
      <c r="C496" s="2" t="n"/>
      <c r="D496" s="2" t="n"/>
    </row>
    <row r="497" ht="14.25" customHeight="1" s="46">
      <c r="A497" s="2" t="n"/>
      <c r="B497" s="2" t="n"/>
      <c r="C497" s="2" t="n"/>
      <c r="D497" s="2" t="n"/>
    </row>
    <row r="498" ht="14.25" customHeight="1" s="46">
      <c r="A498" s="2" t="n"/>
      <c r="B498" s="2" t="n"/>
      <c r="C498" s="2" t="n"/>
      <c r="D498" s="2" t="n"/>
    </row>
    <row r="499" ht="14.25" customHeight="1" s="46">
      <c r="A499" s="2" t="n"/>
      <c r="B499" s="2" t="n"/>
      <c r="C499" s="2" t="n"/>
      <c r="D499" s="2" t="n"/>
    </row>
    <row r="500" ht="14.25" customHeight="1" s="46">
      <c r="A500" s="2" t="n"/>
      <c r="B500" s="2" t="n"/>
      <c r="C500" s="2" t="n"/>
      <c r="D500" s="2" t="n"/>
    </row>
    <row r="501" ht="14.25" customHeight="1" s="46">
      <c r="A501" s="2" t="n"/>
      <c r="B501" s="2" t="n"/>
      <c r="C501" s="2" t="n"/>
      <c r="D501" s="2" t="n"/>
    </row>
    <row r="502" ht="14.25" customHeight="1" s="46">
      <c r="A502" s="2" t="n"/>
      <c r="B502" s="2" t="n"/>
      <c r="C502" s="2" t="n"/>
      <c r="D502" s="2" t="n"/>
    </row>
    <row r="503" ht="14.25" customHeight="1" s="46">
      <c r="A503" s="2" t="n"/>
      <c r="B503" s="2" t="n"/>
      <c r="C503" s="2" t="n"/>
      <c r="D503" s="2" t="n"/>
    </row>
    <row r="504" ht="14.25" customHeight="1" s="46">
      <c r="A504" s="2" t="n"/>
      <c r="B504" s="2" t="n"/>
      <c r="C504" s="2" t="n"/>
      <c r="D504" s="2" t="n"/>
    </row>
    <row r="505" ht="14.25" customHeight="1" s="46">
      <c r="A505" s="2" t="n"/>
      <c r="B505" s="2" t="n"/>
      <c r="C505" s="2" t="n"/>
      <c r="D505" s="2" t="n"/>
    </row>
    <row r="506" ht="14.25" customHeight="1" s="46">
      <c r="A506" s="2" t="n"/>
      <c r="B506" s="2" t="n"/>
      <c r="C506" s="2" t="n"/>
      <c r="D506" s="2" t="n"/>
    </row>
    <row r="507" ht="14.25" customHeight="1" s="46">
      <c r="A507" s="2" t="n"/>
      <c r="B507" s="2" t="n"/>
      <c r="C507" s="2" t="n"/>
      <c r="D507" s="2" t="n"/>
    </row>
    <row r="508" ht="14.25" customHeight="1" s="46">
      <c r="A508" s="2" t="n"/>
      <c r="B508" s="2" t="n"/>
      <c r="C508" s="2" t="n"/>
      <c r="D508" s="2" t="n"/>
    </row>
    <row r="509" ht="14.25" customHeight="1" s="46">
      <c r="A509" s="2" t="n"/>
      <c r="B509" s="2" t="n"/>
      <c r="C509" s="2" t="n"/>
      <c r="D509" s="2" t="n"/>
    </row>
    <row r="510" ht="14.25" customHeight="1" s="46">
      <c r="A510" s="2" t="n"/>
      <c r="B510" s="2" t="n"/>
      <c r="C510" s="2" t="n"/>
      <c r="D510" s="2" t="n"/>
    </row>
    <row r="511" ht="14.25" customHeight="1" s="46">
      <c r="A511" s="2" t="n"/>
      <c r="B511" s="2" t="n"/>
      <c r="C511" s="2" t="n"/>
      <c r="D511" s="2" t="n"/>
    </row>
    <row r="512" ht="14.25" customHeight="1" s="46">
      <c r="A512" s="2" t="n"/>
      <c r="B512" s="2" t="n"/>
      <c r="C512" s="2" t="n"/>
      <c r="D512" s="2" t="n"/>
    </row>
    <row r="513" ht="14.25" customHeight="1" s="46">
      <c r="A513" s="2" t="n"/>
      <c r="B513" s="2" t="n"/>
      <c r="C513" s="2" t="n"/>
      <c r="D513" s="2" t="n"/>
    </row>
    <row r="514" ht="14.25" customHeight="1" s="46">
      <c r="A514" s="2" t="n"/>
      <c r="B514" s="2" t="n"/>
      <c r="C514" s="2" t="n"/>
      <c r="D514" s="2" t="n"/>
    </row>
    <row r="515" ht="14.25" customHeight="1" s="46">
      <c r="A515" s="2" t="n"/>
      <c r="B515" s="2" t="n"/>
      <c r="C515" s="2" t="n"/>
      <c r="D515" s="2" t="n"/>
    </row>
    <row r="516" ht="14.25" customHeight="1" s="46">
      <c r="A516" s="2" t="n"/>
      <c r="B516" s="2" t="n"/>
      <c r="C516" s="2" t="n"/>
      <c r="D516" s="2" t="n"/>
    </row>
    <row r="517" ht="14.25" customHeight="1" s="46">
      <c r="A517" s="2" t="n"/>
      <c r="B517" s="2" t="n"/>
      <c r="C517" s="2" t="n"/>
      <c r="D517" s="2" t="n"/>
    </row>
    <row r="518" ht="14.25" customHeight="1" s="46">
      <c r="A518" s="2" t="n"/>
      <c r="B518" s="2" t="n"/>
      <c r="C518" s="2" t="n"/>
      <c r="D518" s="2" t="n"/>
    </row>
    <row r="519" ht="14.25" customHeight="1" s="46">
      <c r="A519" s="2" t="n"/>
      <c r="B519" s="2" t="n"/>
      <c r="C519" s="2" t="n"/>
      <c r="D519" s="2" t="n"/>
    </row>
    <row r="520" ht="14.25" customHeight="1" s="46">
      <c r="A520" s="2" t="n"/>
      <c r="B520" s="2" t="n"/>
      <c r="C520" s="2" t="n"/>
      <c r="D520" s="2" t="n"/>
    </row>
    <row r="521" ht="14.25" customHeight="1" s="46">
      <c r="A521" s="2" t="n"/>
      <c r="B521" s="2" t="n"/>
      <c r="C521" s="2" t="n"/>
      <c r="D521" s="2" t="n"/>
    </row>
    <row r="522" ht="14.25" customHeight="1" s="46">
      <c r="A522" s="2" t="n"/>
      <c r="B522" s="2" t="n"/>
      <c r="C522" s="2" t="n"/>
      <c r="D522" s="2" t="n"/>
    </row>
    <row r="523" ht="14.25" customHeight="1" s="46">
      <c r="A523" s="2" t="n"/>
      <c r="B523" s="2" t="n"/>
      <c r="C523" s="2" t="n"/>
      <c r="D523" s="2" t="n"/>
    </row>
    <row r="524" ht="14.25" customHeight="1" s="46">
      <c r="A524" s="2" t="n"/>
      <c r="B524" s="2" t="n"/>
      <c r="C524" s="2" t="n"/>
      <c r="D524" s="2" t="n"/>
    </row>
    <row r="525" ht="14.25" customHeight="1" s="46">
      <c r="A525" s="2" t="n"/>
      <c r="B525" s="2" t="n"/>
      <c r="C525" s="2" t="n"/>
      <c r="D525" s="2" t="n"/>
    </row>
    <row r="526" ht="14.25" customHeight="1" s="46">
      <c r="A526" s="2" t="n"/>
      <c r="B526" s="2" t="n"/>
      <c r="C526" s="2" t="n"/>
      <c r="D526" s="2" t="n"/>
    </row>
    <row r="527" ht="14.25" customHeight="1" s="46">
      <c r="A527" s="2" t="n"/>
      <c r="B527" s="2" t="n"/>
      <c r="C527" s="2" t="n"/>
      <c r="D527" s="2" t="n"/>
    </row>
    <row r="528" ht="14.25" customHeight="1" s="46">
      <c r="A528" s="2" t="n"/>
      <c r="B528" s="2" t="n"/>
      <c r="C528" s="2" t="n"/>
      <c r="D528" s="2" t="n"/>
    </row>
    <row r="529" ht="14.25" customHeight="1" s="46">
      <c r="A529" s="2" t="n"/>
      <c r="B529" s="2" t="n"/>
      <c r="C529" s="2" t="n"/>
      <c r="D529" s="2" t="n"/>
    </row>
    <row r="530" ht="14.25" customHeight="1" s="46">
      <c r="A530" s="2" t="n"/>
      <c r="B530" s="2" t="n"/>
      <c r="C530" s="2" t="n"/>
      <c r="D530" s="2" t="n"/>
    </row>
    <row r="531" ht="14.25" customHeight="1" s="46">
      <c r="A531" s="2" t="n"/>
      <c r="B531" s="2" t="n"/>
      <c r="C531" s="2" t="n"/>
      <c r="D531" s="2" t="n"/>
    </row>
    <row r="532" ht="14.25" customHeight="1" s="46">
      <c r="A532" s="2" t="n"/>
      <c r="B532" s="2" t="n"/>
      <c r="C532" s="2" t="n"/>
      <c r="D532" s="2" t="n"/>
    </row>
    <row r="533" ht="14.25" customHeight="1" s="46">
      <c r="A533" s="2" t="n"/>
      <c r="B533" s="2" t="n"/>
      <c r="C533" s="2" t="n"/>
      <c r="D533" s="2" t="n"/>
    </row>
    <row r="534" ht="14.25" customHeight="1" s="46">
      <c r="A534" s="2" t="n"/>
      <c r="B534" s="2" t="n"/>
      <c r="C534" s="2" t="n"/>
      <c r="D534" s="2" t="n"/>
    </row>
    <row r="535" ht="14.25" customHeight="1" s="46">
      <c r="A535" s="2" t="n"/>
      <c r="B535" s="2" t="n"/>
      <c r="C535" s="2" t="n"/>
      <c r="D535" s="2" t="n"/>
    </row>
    <row r="536" ht="14.25" customHeight="1" s="46">
      <c r="A536" s="2" t="n"/>
      <c r="B536" s="2" t="n"/>
      <c r="C536" s="2" t="n"/>
      <c r="D536" s="2" t="n"/>
    </row>
    <row r="537" ht="14.25" customHeight="1" s="46">
      <c r="A537" s="2" t="n"/>
      <c r="B537" s="2" t="n"/>
      <c r="C537" s="2" t="n"/>
      <c r="D537" s="2" t="n"/>
    </row>
    <row r="538" ht="14.25" customHeight="1" s="46">
      <c r="A538" s="2" t="n"/>
      <c r="B538" s="2" t="n"/>
      <c r="C538" s="2" t="n"/>
      <c r="D538" s="2" t="n"/>
    </row>
    <row r="539" ht="14.25" customHeight="1" s="46">
      <c r="A539" s="2" t="n"/>
      <c r="B539" s="2" t="n"/>
      <c r="C539" s="2" t="n"/>
      <c r="D539" s="2" t="n"/>
    </row>
    <row r="540" ht="14.25" customHeight="1" s="46">
      <c r="A540" s="2" t="n"/>
      <c r="B540" s="2" t="n"/>
      <c r="C540" s="2" t="n"/>
      <c r="D540" s="2" t="n"/>
    </row>
    <row r="541" ht="14.25" customHeight="1" s="46">
      <c r="A541" s="2" t="n"/>
      <c r="B541" s="2" t="n"/>
      <c r="C541" s="2" t="n"/>
      <c r="D541" s="2" t="n"/>
    </row>
    <row r="542" ht="14.25" customHeight="1" s="46">
      <c r="A542" s="2" t="n"/>
      <c r="B542" s="2" t="n"/>
      <c r="C542" s="2" t="n"/>
      <c r="D542" s="2" t="n"/>
    </row>
    <row r="543" ht="14.25" customHeight="1" s="46">
      <c r="A543" s="2" t="n"/>
      <c r="B543" s="2" t="n"/>
      <c r="C543" s="2" t="n"/>
      <c r="D543" s="2" t="n"/>
    </row>
    <row r="544" ht="14.25" customHeight="1" s="46">
      <c r="A544" s="2" t="n"/>
      <c r="B544" s="2" t="n"/>
      <c r="C544" s="2" t="n"/>
      <c r="D544" s="2" t="n"/>
    </row>
    <row r="545" ht="14.25" customHeight="1" s="46">
      <c r="A545" s="2" t="n"/>
      <c r="B545" s="2" t="n"/>
      <c r="C545" s="2" t="n"/>
      <c r="D545" s="2" t="n"/>
    </row>
    <row r="546" ht="14.25" customHeight="1" s="46">
      <c r="A546" s="2" t="n"/>
      <c r="B546" s="2" t="n"/>
      <c r="C546" s="2" t="n"/>
      <c r="D546" s="2" t="n"/>
    </row>
    <row r="547" ht="14.25" customHeight="1" s="46">
      <c r="A547" s="2" t="n"/>
      <c r="B547" s="2" t="n"/>
      <c r="C547" s="2" t="n"/>
      <c r="D547" s="2" t="n"/>
    </row>
    <row r="548" ht="14.25" customHeight="1" s="46">
      <c r="A548" s="2" t="n"/>
      <c r="B548" s="2" t="n"/>
      <c r="C548" s="2" t="n"/>
      <c r="D548" s="2" t="n"/>
    </row>
    <row r="549" ht="14.25" customHeight="1" s="46">
      <c r="A549" s="2" t="n"/>
      <c r="B549" s="2" t="n"/>
      <c r="C549" s="2" t="n"/>
      <c r="D549" s="2" t="n"/>
    </row>
    <row r="550" ht="14.25" customHeight="1" s="46">
      <c r="A550" s="2" t="n"/>
      <c r="B550" s="2" t="n"/>
      <c r="C550" s="2" t="n"/>
      <c r="D550" s="2" t="n"/>
    </row>
    <row r="551" ht="14.25" customHeight="1" s="46">
      <c r="A551" s="2" t="n"/>
      <c r="B551" s="2" t="n"/>
      <c r="C551" s="2" t="n"/>
      <c r="D551" s="2" t="n"/>
    </row>
    <row r="552" ht="14.25" customHeight="1" s="46">
      <c r="A552" s="2" t="n"/>
      <c r="B552" s="2" t="n"/>
      <c r="C552" s="2" t="n"/>
      <c r="D552" s="2" t="n"/>
    </row>
    <row r="553" ht="14.25" customHeight="1" s="46">
      <c r="A553" s="2" t="n"/>
      <c r="B553" s="2" t="n"/>
      <c r="C553" s="2" t="n"/>
      <c r="D553" s="2" t="n"/>
    </row>
    <row r="554" ht="14.25" customHeight="1" s="46">
      <c r="A554" s="2" t="n"/>
      <c r="B554" s="2" t="n"/>
      <c r="C554" s="2" t="n"/>
      <c r="D554" s="2" t="n"/>
    </row>
    <row r="555" ht="14.25" customHeight="1" s="46">
      <c r="A555" s="2" t="n"/>
      <c r="B555" s="2" t="n"/>
      <c r="C555" s="2" t="n"/>
      <c r="D555" s="2" t="n"/>
    </row>
    <row r="556" ht="14.25" customHeight="1" s="46">
      <c r="A556" s="2" t="n"/>
      <c r="B556" s="2" t="n"/>
      <c r="C556" s="2" t="n"/>
      <c r="D556" s="2" t="n"/>
    </row>
    <row r="557" ht="14.25" customHeight="1" s="46">
      <c r="A557" s="2" t="n"/>
      <c r="B557" s="2" t="n"/>
      <c r="C557" s="2" t="n"/>
      <c r="D557" s="2" t="n"/>
    </row>
    <row r="558" ht="14.25" customHeight="1" s="46">
      <c r="A558" s="2" t="n"/>
      <c r="B558" s="2" t="n"/>
      <c r="C558" s="2" t="n"/>
      <c r="D558" s="2" t="n"/>
    </row>
    <row r="559" ht="14.25" customHeight="1" s="46">
      <c r="A559" s="2" t="n"/>
      <c r="B559" s="2" t="n"/>
      <c r="C559" s="2" t="n"/>
      <c r="D559" s="2" t="n"/>
    </row>
    <row r="560" ht="14.25" customHeight="1" s="46">
      <c r="A560" s="2" t="n"/>
      <c r="B560" s="2" t="n"/>
      <c r="C560" s="2" t="n"/>
      <c r="D560" s="2" t="n"/>
    </row>
    <row r="561" ht="14.25" customHeight="1" s="46">
      <c r="A561" s="2" t="n"/>
      <c r="B561" s="2" t="n"/>
      <c r="C561" s="2" t="n"/>
      <c r="D561" s="2" t="n"/>
    </row>
    <row r="562" ht="14.25" customHeight="1" s="46">
      <c r="A562" s="2" t="n"/>
      <c r="B562" s="2" t="n"/>
      <c r="C562" s="2" t="n"/>
      <c r="D562" s="2" t="n"/>
    </row>
    <row r="563" ht="14.25" customHeight="1" s="46">
      <c r="A563" s="2" t="n"/>
      <c r="B563" s="2" t="n"/>
      <c r="C563" s="2" t="n"/>
      <c r="D563" s="2" t="n"/>
    </row>
    <row r="564" ht="14.25" customHeight="1" s="46">
      <c r="A564" s="2" t="n"/>
      <c r="B564" s="2" t="n"/>
      <c r="C564" s="2" t="n"/>
      <c r="D564" s="2" t="n"/>
    </row>
    <row r="565" ht="14.25" customHeight="1" s="46">
      <c r="A565" s="2" t="n"/>
      <c r="B565" s="2" t="n"/>
      <c r="C565" s="2" t="n"/>
      <c r="D565" s="2" t="n"/>
    </row>
    <row r="566" ht="14.25" customHeight="1" s="46">
      <c r="A566" s="2" t="n"/>
      <c r="B566" s="2" t="n"/>
      <c r="C566" s="2" t="n"/>
      <c r="D566" s="2" t="n"/>
    </row>
    <row r="567" ht="14.25" customHeight="1" s="46">
      <c r="A567" s="2" t="n"/>
      <c r="B567" s="2" t="n"/>
      <c r="C567" s="2" t="n"/>
      <c r="D567" s="2" t="n"/>
    </row>
    <row r="568" ht="14.25" customHeight="1" s="46">
      <c r="A568" s="2" t="n"/>
      <c r="B568" s="2" t="n"/>
      <c r="C568" s="2" t="n"/>
      <c r="D568" s="2" t="n"/>
    </row>
    <row r="569" ht="14.25" customHeight="1" s="46">
      <c r="A569" s="2" t="n"/>
      <c r="B569" s="2" t="n"/>
      <c r="C569" s="2" t="n"/>
      <c r="D569" s="2" t="n"/>
    </row>
    <row r="570" ht="14.25" customHeight="1" s="46">
      <c r="A570" s="2" t="n"/>
      <c r="B570" s="2" t="n"/>
      <c r="C570" s="2" t="n"/>
      <c r="D570" s="2" t="n"/>
    </row>
    <row r="571" ht="14.25" customHeight="1" s="46">
      <c r="A571" s="2" t="n"/>
      <c r="B571" s="2" t="n"/>
      <c r="C571" s="2" t="n"/>
      <c r="D571" s="2" t="n"/>
    </row>
    <row r="572" ht="14.25" customHeight="1" s="46">
      <c r="A572" s="2" t="n"/>
      <c r="B572" s="2" t="n"/>
      <c r="C572" s="2" t="n"/>
      <c r="D572" s="2" t="n"/>
    </row>
    <row r="573" ht="14.25" customHeight="1" s="46">
      <c r="A573" s="2" t="n"/>
      <c r="B573" s="2" t="n"/>
      <c r="C573" s="2" t="n"/>
      <c r="D573" s="2" t="n"/>
    </row>
    <row r="574" ht="14.25" customHeight="1" s="46">
      <c r="A574" s="2" t="n"/>
      <c r="B574" s="2" t="n"/>
      <c r="C574" s="2" t="n"/>
      <c r="D574" s="2" t="n"/>
    </row>
    <row r="575" ht="14.25" customHeight="1" s="46">
      <c r="A575" s="2" t="n"/>
      <c r="B575" s="2" t="n"/>
      <c r="C575" s="2" t="n"/>
      <c r="D575" s="2" t="n"/>
    </row>
    <row r="576" ht="14.25" customHeight="1" s="46">
      <c r="A576" s="2" t="n"/>
      <c r="B576" s="2" t="n"/>
      <c r="C576" s="2" t="n"/>
      <c r="D576" s="2" t="n"/>
    </row>
    <row r="577" ht="14.25" customHeight="1" s="46">
      <c r="A577" s="2" t="n"/>
      <c r="B577" s="2" t="n"/>
      <c r="C577" s="2" t="n"/>
      <c r="D577" s="2" t="n"/>
    </row>
    <row r="578" ht="14.25" customHeight="1" s="46">
      <c r="A578" s="2" t="n"/>
      <c r="B578" s="2" t="n"/>
      <c r="C578" s="2" t="n"/>
      <c r="D578" s="2" t="n"/>
    </row>
    <row r="579" ht="14.25" customHeight="1" s="46">
      <c r="A579" s="2" t="n"/>
      <c r="B579" s="2" t="n"/>
      <c r="C579" s="2" t="n"/>
      <c r="D579" s="2" t="n"/>
    </row>
    <row r="580" ht="14.25" customHeight="1" s="46">
      <c r="A580" s="2" t="n"/>
      <c r="B580" s="2" t="n"/>
      <c r="C580" s="2" t="n"/>
      <c r="D580" s="2" t="n"/>
    </row>
    <row r="581" ht="14.25" customHeight="1" s="46">
      <c r="A581" s="2" t="n"/>
      <c r="B581" s="2" t="n"/>
      <c r="C581" s="2" t="n"/>
      <c r="D581" s="2" t="n"/>
    </row>
    <row r="582" ht="14.25" customHeight="1" s="46">
      <c r="A582" s="2" t="n"/>
      <c r="B582" s="2" t="n"/>
      <c r="C582" s="2" t="n"/>
      <c r="D582" s="2" t="n"/>
    </row>
    <row r="583" ht="14.25" customHeight="1" s="46">
      <c r="A583" s="2" t="n"/>
      <c r="B583" s="2" t="n"/>
      <c r="C583" s="2" t="n"/>
      <c r="D583" s="2" t="n"/>
    </row>
    <row r="584" ht="14.25" customHeight="1" s="46">
      <c r="A584" s="2" t="n"/>
      <c r="B584" s="2" t="n"/>
      <c r="C584" s="2" t="n"/>
      <c r="D584" s="2" t="n"/>
    </row>
    <row r="585" ht="14.25" customHeight="1" s="46">
      <c r="A585" s="2" t="n"/>
      <c r="B585" s="2" t="n"/>
      <c r="C585" s="2" t="n"/>
      <c r="D585" s="2" t="n"/>
    </row>
    <row r="586" ht="14.25" customHeight="1" s="46">
      <c r="A586" s="2" t="n"/>
      <c r="B586" s="2" t="n"/>
      <c r="C586" s="2" t="n"/>
      <c r="D586" s="2" t="n"/>
    </row>
    <row r="587" ht="14.25" customHeight="1" s="46">
      <c r="A587" s="2" t="n"/>
      <c r="B587" s="2" t="n"/>
      <c r="C587" s="2" t="n"/>
      <c r="D587" s="2" t="n"/>
    </row>
    <row r="588" ht="14.25" customHeight="1" s="46">
      <c r="A588" s="2" t="n"/>
      <c r="B588" s="2" t="n"/>
      <c r="C588" s="2" t="n"/>
      <c r="D588" s="2" t="n"/>
    </row>
    <row r="589" ht="14.25" customHeight="1" s="46">
      <c r="A589" s="2" t="n"/>
      <c r="B589" s="2" t="n"/>
      <c r="C589" s="2" t="n"/>
      <c r="D589" s="2" t="n"/>
    </row>
    <row r="590" ht="14.25" customHeight="1" s="46">
      <c r="A590" s="2" t="n"/>
      <c r="B590" s="2" t="n"/>
      <c r="C590" s="2" t="n"/>
      <c r="D590" s="2" t="n"/>
    </row>
    <row r="591" ht="14.25" customHeight="1" s="46">
      <c r="A591" s="2" t="n"/>
      <c r="B591" s="2" t="n"/>
      <c r="C591" s="2" t="n"/>
      <c r="D591" s="2" t="n"/>
    </row>
    <row r="592" ht="14.25" customHeight="1" s="46">
      <c r="A592" s="2" t="n"/>
      <c r="B592" s="2" t="n"/>
      <c r="C592" s="2" t="n"/>
      <c r="D592" s="2" t="n"/>
    </row>
    <row r="593" ht="14.25" customHeight="1" s="46">
      <c r="A593" s="2" t="n"/>
      <c r="B593" s="2" t="n"/>
      <c r="C593" s="2" t="n"/>
      <c r="D593" s="2" t="n"/>
    </row>
    <row r="594" ht="14.25" customHeight="1" s="46">
      <c r="A594" s="2" t="n"/>
      <c r="B594" s="2" t="n"/>
      <c r="C594" s="2" t="n"/>
      <c r="D594" s="2" t="n"/>
    </row>
    <row r="595" ht="14.25" customHeight="1" s="46">
      <c r="A595" s="2" t="n"/>
      <c r="B595" s="2" t="n"/>
      <c r="C595" s="2" t="n"/>
      <c r="D595" s="2" t="n"/>
    </row>
    <row r="596" ht="14.25" customHeight="1" s="46">
      <c r="A596" s="2" t="n"/>
      <c r="B596" s="2" t="n"/>
      <c r="C596" s="2" t="n"/>
      <c r="D596" s="2" t="n"/>
    </row>
    <row r="597" ht="14.25" customHeight="1" s="46">
      <c r="A597" s="2" t="n"/>
      <c r="B597" s="2" t="n"/>
      <c r="C597" s="2" t="n"/>
      <c r="D597" s="2" t="n"/>
    </row>
    <row r="598" ht="14.25" customHeight="1" s="46">
      <c r="A598" s="2" t="n"/>
      <c r="B598" s="2" t="n"/>
      <c r="C598" s="2" t="n"/>
      <c r="D598" s="2" t="n"/>
    </row>
    <row r="599" ht="14.25" customHeight="1" s="46">
      <c r="A599" s="2" t="n"/>
      <c r="B599" s="2" t="n"/>
      <c r="C599" s="2" t="n"/>
      <c r="D599" s="2" t="n"/>
    </row>
    <row r="600" ht="14.25" customHeight="1" s="46">
      <c r="A600" s="2" t="n"/>
      <c r="B600" s="2" t="n"/>
      <c r="C600" s="2" t="n"/>
      <c r="D600" s="2" t="n"/>
    </row>
    <row r="601" ht="14.25" customHeight="1" s="46">
      <c r="A601" s="2" t="n"/>
      <c r="B601" s="2" t="n"/>
      <c r="C601" s="2" t="n"/>
      <c r="D601" s="2" t="n"/>
    </row>
    <row r="602" ht="14.25" customHeight="1" s="46">
      <c r="A602" s="2" t="n"/>
      <c r="B602" s="2" t="n"/>
      <c r="C602" s="2" t="n"/>
      <c r="D602" s="2" t="n"/>
    </row>
    <row r="603" ht="14.25" customHeight="1" s="46">
      <c r="A603" s="2" t="n"/>
      <c r="B603" s="2" t="n"/>
      <c r="C603" s="2" t="n"/>
      <c r="D603" s="2" t="n"/>
    </row>
    <row r="604" ht="14.25" customHeight="1" s="46">
      <c r="A604" s="2" t="n"/>
      <c r="B604" s="2" t="n"/>
      <c r="C604" s="2" t="n"/>
      <c r="D604" s="2" t="n"/>
    </row>
    <row r="605" ht="14.25" customHeight="1" s="46">
      <c r="A605" s="2" t="n"/>
      <c r="B605" s="2" t="n"/>
      <c r="C605" s="2" t="n"/>
      <c r="D605" s="2" t="n"/>
    </row>
    <row r="606" ht="14.25" customHeight="1" s="46">
      <c r="A606" s="2" t="n"/>
      <c r="B606" s="2" t="n"/>
      <c r="C606" s="2" t="n"/>
      <c r="D606" s="2" t="n"/>
    </row>
    <row r="607" ht="14.25" customHeight="1" s="46">
      <c r="A607" s="2" t="n"/>
      <c r="B607" s="2" t="n"/>
      <c r="C607" s="2" t="n"/>
      <c r="D607" s="2" t="n"/>
    </row>
    <row r="608" ht="14.25" customHeight="1" s="46">
      <c r="A608" s="2" t="n"/>
      <c r="B608" s="2" t="n"/>
      <c r="C608" s="2" t="n"/>
      <c r="D608" s="2" t="n"/>
    </row>
    <row r="609" ht="14.25" customHeight="1" s="46">
      <c r="A609" s="2" t="n"/>
      <c r="B609" s="2" t="n"/>
      <c r="C609" s="2" t="n"/>
      <c r="D609" s="2" t="n"/>
    </row>
    <row r="610" ht="14.25" customHeight="1" s="46">
      <c r="A610" s="2" t="n"/>
      <c r="B610" s="2" t="n"/>
      <c r="C610" s="2" t="n"/>
      <c r="D610" s="2" t="n"/>
    </row>
    <row r="611" ht="14.25" customHeight="1" s="46">
      <c r="A611" s="2" t="n"/>
      <c r="B611" s="2" t="n"/>
      <c r="C611" s="2" t="n"/>
      <c r="D611" s="2" t="n"/>
    </row>
    <row r="612" ht="14.25" customHeight="1" s="46">
      <c r="A612" s="2" t="n"/>
      <c r="B612" s="2" t="n"/>
      <c r="C612" s="2" t="n"/>
      <c r="D612" s="2" t="n"/>
    </row>
    <row r="613" ht="14.25" customHeight="1" s="46">
      <c r="A613" s="2" t="n"/>
      <c r="B613" s="2" t="n"/>
      <c r="C613" s="2" t="n"/>
      <c r="D613" s="2" t="n"/>
    </row>
    <row r="614" ht="14.25" customHeight="1" s="46">
      <c r="A614" s="2" t="n"/>
      <c r="B614" s="2" t="n"/>
      <c r="C614" s="2" t="n"/>
      <c r="D614" s="2" t="n"/>
    </row>
    <row r="615" ht="14.25" customHeight="1" s="46">
      <c r="A615" s="2" t="n"/>
      <c r="B615" s="2" t="n"/>
      <c r="C615" s="2" t="n"/>
      <c r="D615" s="2" t="n"/>
    </row>
    <row r="616" ht="14.25" customHeight="1" s="46">
      <c r="A616" s="2" t="n"/>
      <c r="B616" s="2" t="n"/>
      <c r="C616" s="2" t="n"/>
      <c r="D616" s="2" t="n"/>
    </row>
    <row r="617" ht="14.25" customHeight="1" s="46">
      <c r="A617" s="2" t="n"/>
      <c r="B617" s="2" t="n"/>
      <c r="C617" s="2" t="n"/>
      <c r="D617" s="2" t="n"/>
    </row>
    <row r="618" ht="14.25" customHeight="1" s="46">
      <c r="A618" s="2" t="n"/>
      <c r="B618" s="2" t="n"/>
      <c r="C618" s="2" t="n"/>
      <c r="D618" s="2" t="n"/>
    </row>
    <row r="619" ht="14.25" customHeight="1" s="46">
      <c r="A619" s="2" t="n"/>
      <c r="B619" s="2" t="n"/>
      <c r="C619" s="2" t="n"/>
      <c r="D619" s="2" t="n"/>
    </row>
    <row r="620" ht="14.25" customHeight="1" s="46">
      <c r="A620" s="2" t="n"/>
      <c r="B620" s="2" t="n"/>
      <c r="C620" s="2" t="n"/>
      <c r="D620" s="2" t="n"/>
    </row>
    <row r="621" ht="14.25" customHeight="1" s="46">
      <c r="A621" s="2" t="n"/>
      <c r="B621" s="2" t="n"/>
      <c r="C621" s="2" t="n"/>
      <c r="D621" s="2" t="n"/>
    </row>
    <row r="622" ht="14.25" customHeight="1" s="46">
      <c r="A622" s="2" t="n"/>
      <c r="B622" s="2" t="n"/>
      <c r="C622" s="2" t="n"/>
      <c r="D622" s="2" t="n"/>
    </row>
    <row r="623" ht="14.25" customHeight="1" s="46">
      <c r="A623" s="2" t="n"/>
      <c r="B623" s="2" t="n"/>
      <c r="C623" s="2" t="n"/>
      <c r="D623" s="2" t="n"/>
    </row>
    <row r="624" ht="14.25" customHeight="1" s="46">
      <c r="A624" s="2" t="n"/>
      <c r="B624" s="2" t="n"/>
      <c r="C624" s="2" t="n"/>
      <c r="D624" s="2" t="n"/>
    </row>
    <row r="625" ht="14.25" customHeight="1" s="46">
      <c r="A625" s="2" t="n"/>
      <c r="B625" s="2" t="n"/>
      <c r="C625" s="2" t="n"/>
      <c r="D625" s="2" t="n"/>
    </row>
    <row r="626" ht="14.25" customHeight="1" s="46">
      <c r="A626" s="2" t="n"/>
      <c r="B626" s="2" t="n"/>
      <c r="C626" s="2" t="n"/>
      <c r="D626" s="2" t="n"/>
    </row>
    <row r="627" ht="14.25" customHeight="1" s="46">
      <c r="A627" s="2" t="n"/>
      <c r="B627" s="2" t="n"/>
      <c r="C627" s="2" t="n"/>
      <c r="D627" s="2" t="n"/>
    </row>
    <row r="628" ht="14.25" customHeight="1" s="46">
      <c r="A628" s="2" t="n"/>
      <c r="B628" s="2" t="n"/>
      <c r="C628" s="2" t="n"/>
      <c r="D628" s="2" t="n"/>
    </row>
    <row r="629" ht="14.25" customHeight="1" s="46">
      <c r="A629" s="2" t="n"/>
      <c r="B629" s="2" t="n"/>
      <c r="C629" s="2" t="n"/>
      <c r="D629" s="2" t="n"/>
    </row>
    <row r="630" ht="14.25" customHeight="1" s="46">
      <c r="A630" s="2" t="n"/>
      <c r="B630" s="2" t="n"/>
      <c r="C630" s="2" t="n"/>
      <c r="D630" s="2" t="n"/>
    </row>
    <row r="631" ht="14.25" customHeight="1" s="46">
      <c r="A631" s="2" t="n"/>
      <c r="B631" s="2" t="n"/>
      <c r="C631" s="2" t="n"/>
      <c r="D631" s="2" t="n"/>
    </row>
    <row r="632" ht="14.25" customHeight="1" s="46">
      <c r="A632" s="2" t="n"/>
      <c r="B632" s="2" t="n"/>
      <c r="C632" s="2" t="n"/>
      <c r="D632" s="2" t="n"/>
    </row>
    <row r="633" ht="14.25" customHeight="1" s="46">
      <c r="A633" s="2" t="n"/>
      <c r="B633" s="2" t="n"/>
      <c r="C633" s="2" t="n"/>
      <c r="D633" s="2" t="n"/>
    </row>
    <row r="634" ht="14.25" customHeight="1" s="46">
      <c r="A634" s="2" t="n"/>
      <c r="B634" s="2" t="n"/>
      <c r="C634" s="2" t="n"/>
      <c r="D634" s="2" t="n"/>
    </row>
    <row r="635" ht="14.25" customHeight="1" s="46">
      <c r="A635" s="2" t="n"/>
      <c r="B635" s="2" t="n"/>
      <c r="C635" s="2" t="n"/>
      <c r="D635" s="2" t="n"/>
    </row>
    <row r="636" ht="14.25" customHeight="1" s="46">
      <c r="A636" s="2" t="n"/>
      <c r="B636" s="2" t="n"/>
      <c r="C636" s="2" t="n"/>
      <c r="D636" s="2" t="n"/>
    </row>
    <row r="637" ht="14.25" customHeight="1" s="46">
      <c r="A637" s="2" t="n"/>
      <c r="B637" s="2" t="n"/>
      <c r="C637" s="2" t="n"/>
      <c r="D637" s="2" t="n"/>
    </row>
    <row r="638" ht="14.25" customHeight="1" s="46">
      <c r="A638" s="2" t="n"/>
      <c r="B638" s="2" t="n"/>
      <c r="C638" s="2" t="n"/>
      <c r="D638" s="2" t="n"/>
    </row>
    <row r="639" ht="14.25" customHeight="1" s="46">
      <c r="A639" s="2" t="n"/>
      <c r="B639" s="2" t="n"/>
      <c r="C639" s="2" t="n"/>
      <c r="D639" s="2" t="n"/>
    </row>
    <row r="640" ht="14.25" customHeight="1" s="46">
      <c r="A640" s="2" t="n"/>
      <c r="B640" s="2" t="n"/>
      <c r="C640" s="2" t="n"/>
      <c r="D640" s="2" t="n"/>
    </row>
    <row r="641" ht="14.25" customHeight="1" s="46">
      <c r="A641" s="2" t="n"/>
      <c r="B641" s="2" t="n"/>
      <c r="C641" s="2" t="n"/>
      <c r="D641" s="2" t="n"/>
    </row>
    <row r="642" ht="14.25" customHeight="1" s="46">
      <c r="A642" s="2" t="n"/>
      <c r="B642" s="2" t="n"/>
      <c r="C642" s="2" t="n"/>
      <c r="D642" s="2" t="n"/>
    </row>
    <row r="643" ht="14.25" customHeight="1" s="46">
      <c r="A643" s="2" t="n"/>
      <c r="B643" s="2" t="n"/>
      <c r="C643" s="2" t="n"/>
      <c r="D643" s="2" t="n"/>
    </row>
    <row r="644" ht="14.25" customHeight="1" s="46">
      <c r="A644" s="2" t="n"/>
      <c r="B644" s="2" t="n"/>
      <c r="C644" s="2" t="n"/>
      <c r="D644" s="2" t="n"/>
    </row>
    <row r="645" ht="14.25" customHeight="1" s="46">
      <c r="A645" s="2" t="n"/>
      <c r="B645" s="2" t="n"/>
      <c r="C645" s="2" t="n"/>
      <c r="D645" s="2" t="n"/>
    </row>
    <row r="646" ht="14.25" customHeight="1" s="46">
      <c r="A646" s="2" t="n"/>
      <c r="B646" s="2" t="n"/>
      <c r="C646" s="2" t="n"/>
      <c r="D646" s="2" t="n"/>
    </row>
    <row r="647" ht="14.25" customHeight="1" s="46">
      <c r="A647" s="2" t="n"/>
      <c r="B647" s="2" t="n"/>
      <c r="C647" s="2" t="n"/>
      <c r="D647" s="2" t="n"/>
    </row>
    <row r="648" ht="14.25" customHeight="1" s="46">
      <c r="A648" s="2" t="n"/>
      <c r="B648" s="2" t="n"/>
      <c r="C648" s="2" t="n"/>
      <c r="D648" s="2" t="n"/>
    </row>
    <row r="649" ht="14.25" customHeight="1" s="46">
      <c r="A649" s="2" t="n"/>
      <c r="B649" s="2" t="n"/>
      <c r="C649" s="2" t="n"/>
      <c r="D649" s="2" t="n"/>
    </row>
    <row r="650" ht="14.25" customHeight="1" s="46">
      <c r="A650" s="2" t="n"/>
      <c r="B650" s="2" t="n"/>
      <c r="C650" s="2" t="n"/>
      <c r="D650" s="2" t="n"/>
    </row>
    <row r="651" ht="14.25" customHeight="1" s="46">
      <c r="A651" s="2" t="n"/>
      <c r="B651" s="2" t="n"/>
      <c r="C651" s="2" t="n"/>
      <c r="D651" s="2" t="n"/>
    </row>
    <row r="652" ht="14.25" customHeight="1" s="46">
      <c r="A652" s="2" t="n"/>
      <c r="B652" s="2" t="n"/>
      <c r="C652" s="2" t="n"/>
      <c r="D652" s="2" t="n"/>
    </row>
    <row r="653" ht="14.25" customHeight="1" s="46">
      <c r="A653" s="2" t="n"/>
      <c r="B653" s="2" t="n"/>
      <c r="C653" s="2" t="n"/>
      <c r="D653" s="2" t="n"/>
    </row>
    <row r="654" ht="14.25" customHeight="1" s="46">
      <c r="A654" s="2" t="n"/>
      <c r="B654" s="2" t="n"/>
      <c r="C654" s="2" t="n"/>
      <c r="D654" s="2" t="n"/>
    </row>
    <row r="655" ht="14.25" customHeight="1" s="46">
      <c r="A655" s="2" t="n"/>
      <c r="B655" s="2" t="n"/>
      <c r="C655" s="2" t="n"/>
      <c r="D655" s="2" t="n"/>
    </row>
    <row r="656" ht="14.25" customHeight="1" s="46">
      <c r="A656" s="2" t="n"/>
      <c r="B656" s="2" t="n"/>
      <c r="C656" s="2" t="n"/>
      <c r="D656" s="2" t="n"/>
    </row>
    <row r="657" ht="14.25" customHeight="1" s="46">
      <c r="A657" s="2" t="n"/>
      <c r="B657" s="2" t="n"/>
      <c r="C657" s="2" t="n"/>
      <c r="D657" s="2" t="n"/>
    </row>
    <row r="658" ht="14.25" customHeight="1" s="46">
      <c r="A658" s="2" t="n"/>
      <c r="B658" s="2" t="n"/>
      <c r="C658" s="2" t="n"/>
      <c r="D658" s="2" t="n"/>
    </row>
    <row r="659" ht="14.25" customHeight="1" s="46">
      <c r="A659" s="2" t="n"/>
      <c r="B659" s="2" t="n"/>
      <c r="C659" s="2" t="n"/>
      <c r="D659" s="2" t="n"/>
    </row>
    <row r="660" ht="14.25" customHeight="1" s="46">
      <c r="A660" s="2" t="n"/>
      <c r="B660" s="2" t="n"/>
      <c r="C660" s="2" t="n"/>
      <c r="D660" s="2" t="n"/>
    </row>
    <row r="661" ht="14.25" customHeight="1" s="46">
      <c r="A661" s="2" t="n"/>
      <c r="B661" s="2" t="n"/>
      <c r="C661" s="2" t="n"/>
      <c r="D661" s="2" t="n"/>
    </row>
    <row r="662" ht="14.25" customHeight="1" s="46">
      <c r="A662" s="2" t="n"/>
      <c r="B662" s="2" t="n"/>
      <c r="C662" s="2" t="n"/>
      <c r="D662" s="2" t="n"/>
    </row>
    <row r="663" ht="14.25" customHeight="1" s="46">
      <c r="A663" s="2" t="n"/>
      <c r="B663" s="2" t="n"/>
      <c r="C663" s="2" t="n"/>
      <c r="D663" s="2" t="n"/>
    </row>
    <row r="664" ht="14.25" customHeight="1" s="46">
      <c r="A664" s="2" t="n"/>
      <c r="B664" s="2" t="n"/>
      <c r="C664" s="2" t="n"/>
      <c r="D664" s="2" t="n"/>
    </row>
    <row r="665" ht="14.25" customHeight="1" s="46">
      <c r="A665" s="2" t="n"/>
      <c r="B665" s="2" t="n"/>
      <c r="C665" s="2" t="n"/>
      <c r="D665" s="2" t="n"/>
    </row>
    <row r="666" ht="14.25" customHeight="1" s="46">
      <c r="A666" s="2" t="n"/>
      <c r="B666" s="2" t="n"/>
      <c r="C666" s="2" t="n"/>
      <c r="D666" s="2" t="n"/>
    </row>
    <row r="667" ht="14.25" customHeight="1" s="46">
      <c r="A667" s="2" t="n"/>
      <c r="B667" s="2" t="n"/>
      <c r="C667" s="2" t="n"/>
      <c r="D667" s="2" t="n"/>
    </row>
    <row r="668" ht="14.25" customHeight="1" s="46">
      <c r="A668" s="2" t="n"/>
      <c r="B668" s="2" t="n"/>
      <c r="C668" s="2" t="n"/>
      <c r="D668" s="2" t="n"/>
    </row>
    <row r="669" ht="14.25" customHeight="1" s="46">
      <c r="A669" s="2" t="n"/>
      <c r="B669" s="2" t="n"/>
      <c r="C669" s="2" t="n"/>
      <c r="D669" s="2" t="n"/>
    </row>
    <row r="670" ht="14.25" customHeight="1" s="46">
      <c r="A670" s="2" t="n"/>
      <c r="B670" s="2" t="n"/>
      <c r="C670" s="2" t="n"/>
      <c r="D670" s="2" t="n"/>
    </row>
    <row r="671" ht="14.25" customHeight="1" s="46">
      <c r="A671" s="2" t="n"/>
      <c r="B671" s="2" t="n"/>
      <c r="C671" s="2" t="n"/>
      <c r="D671" s="2" t="n"/>
    </row>
    <row r="672" ht="14.25" customHeight="1" s="46">
      <c r="A672" s="2" t="n"/>
      <c r="B672" s="2" t="n"/>
      <c r="C672" s="2" t="n"/>
      <c r="D672" s="2" t="n"/>
    </row>
    <row r="673" ht="14.25" customHeight="1" s="46">
      <c r="A673" s="2" t="n"/>
      <c r="B673" s="2" t="n"/>
      <c r="C673" s="2" t="n"/>
      <c r="D673" s="2" t="n"/>
    </row>
    <row r="674" ht="14.25" customHeight="1" s="46">
      <c r="A674" s="2" t="n"/>
      <c r="B674" s="2" t="n"/>
      <c r="C674" s="2" t="n"/>
      <c r="D674" s="2" t="n"/>
    </row>
    <row r="675" ht="14.25" customHeight="1" s="46">
      <c r="A675" s="2" t="n"/>
      <c r="B675" s="2" t="n"/>
      <c r="C675" s="2" t="n"/>
      <c r="D675" s="2" t="n"/>
    </row>
    <row r="676" ht="14.25" customHeight="1" s="46">
      <c r="A676" s="2" t="n"/>
      <c r="B676" s="2" t="n"/>
      <c r="C676" s="2" t="n"/>
      <c r="D676" s="2" t="n"/>
    </row>
    <row r="677" ht="14.25" customHeight="1" s="46">
      <c r="A677" s="2" t="n"/>
      <c r="B677" s="2" t="n"/>
      <c r="C677" s="2" t="n"/>
      <c r="D677" s="2" t="n"/>
    </row>
    <row r="678" ht="14.25" customHeight="1" s="46">
      <c r="A678" s="2" t="n"/>
      <c r="B678" s="2" t="n"/>
      <c r="C678" s="2" t="n"/>
      <c r="D678" s="2" t="n"/>
    </row>
    <row r="679" ht="14.25" customHeight="1" s="46">
      <c r="A679" s="2" t="n"/>
      <c r="B679" s="2" t="n"/>
      <c r="C679" s="2" t="n"/>
      <c r="D679" s="2" t="n"/>
    </row>
    <row r="680" ht="14.25" customHeight="1" s="46">
      <c r="A680" s="2" t="n"/>
      <c r="B680" s="2" t="n"/>
      <c r="C680" s="2" t="n"/>
      <c r="D680" s="2" t="n"/>
    </row>
    <row r="681" ht="14.25" customHeight="1" s="46">
      <c r="A681" s="2" t="n"/>
      <c r="B681" s="2" t="n"/>
      <c r="C681" s="2" t="n"/>
      <c r="D681" s="2" t="n"/>
    </row>
    <row r="682" ht="14.25" customHeight="1" s="46">
      <c r="A682" s="2" t="n"/>
      <c r="B682" s="2" t="n"/>
      <c r="C682" s="2" t="n"/>
      <c r="D682" s="2" t="n"/>
    </row>
    <row r="683" ht="14.25" customHeight="1" s="46">
      <c r="A683" s="2" t="n"/>
      <c r="B683" s="2" t="n"/>
      <c r="C683" s="2" t="n"/>
      <c r="D683" s="2" t="n"/>
    </row>
    <row r="684" ht="14.25" customHeight="1" s="46">
      <c r="A684" s="2" t="n"/>
      <c r="B684" s="2" t="n"/>
      <c r="C684" s="2" t="n"/>
      <c r="D684" s="2" t="n"/>
    </row>
    <row r="685" ht="14.25" customHeight="1" s="46">
      <c r="A685" s="2" t="n"/>
      <c r="B685" s="2" t="n"/>
      <c r="C685" s="2" t="n"/>
      <c r="D685" s="2" t="n"/>
    </row>
    <row r="686" ht="14.25" customHeight="1" s="46">
      <c r="A686" s="2" t="n"/>
      <c r="B686" s="2" t="n"/>
      <c r="C686" s="2" t="n"/>
      <c r="D686" s="2" t="n"/>
    </row>
    <row r="687" ht="14.25" customHeight="1" s="46">
      <c r="A687" s="2" t="n"/>
      <c r="B687" s="2" t="n"/>
      <c r="C687" s="2" t="n"/>
      <c r="D687" s="2" t="n"/>
    </row>
    <row r="688" ht="14.25" customHeight="1" s="46">
      <c r="A688" s="2" t="n"/>
      <c r="B688" s="2" t="n"/>
      <c r="C688" s="2" t="n"/>
      <c r="D688" s="2" t="n"/>
    </row>
    <row r="689" ht="14.25" customHeight="1" s="46">
      <c r="A689" s="2" t="n"/>
      <c r="B689" s="2" t="n"/>
      <c r="C689" s="2" t="n"/>
      <c r="D689" s="2" t="n"/>
    </row>
    <row r="690" ht="14.25" customHeight="1" s="46">
      <c r="A690" s="2" t="n"/>
      <c r="B690" s="2" t="n"/>
      <c r="C690" s="2" t="n"/>
      <c r="D690" s="2" t="n"/>
    </row>
    <row r="691" ht="14.25" customHeight="1" s="46">
      <c r="A691" s="2" t="n"/>
      <c r="B691" s="2" t="n"/>
      <c r="C691" s="2" t="n"/>
      <c r="D691" s="2" t="n"/>
    </row>
    <row r="692" ht="14.25" customHeight="1" s="46">
      <c r="A692" s="2" t="n"/>
      <c r="B692" s="2" t="n"/>
      <c r="C692" s="2" t="n"/>
      <c r="D692" s="2" t="n"/>
    </row>
    <row r="693" ht="14.25" customHeight="1" s="46">
      <c r="A693" s="2" t="n"/>
      <c r="B693" s="2" t="n"/>
      <c r="C693" s="2" t="n"/>
      <c r="D693" s="2" t="n"/>
    </row>
    <row r="694" ht="14.25" customHeight="1" s="46">
      <c r="A694" s="2" t="n"/>
      <c r="B694" s="2" t="n"/>
      <c r="C694" s="2" t="n"/>
      <c r="D694" s="2" t="n"/>
    </row>
    <row r="695" ht="14.25" customHeight="1" s="46">
      <c r="A695" s="2" t="n"/>
      <c r="B695" s="2" t="n"/>
      <c r="C695" s="2" t="n"/>
      <c r="D695" s="2" t="n"/>
    </row>
    <row r="696" ht="14.25" customHeight="1" s="46">
      <c r="A696" s="2" t="n"/>
      <c r="B696" s="2" t="n"/>
      <c r="C696" s="2" t="n"/>
      <c r="D696" s="2" t="n"/>
    </row>
    <row r="697" ht="14.25" customHeight="1" s="46">
      <c r="A697" s="2" t="n"/>
      <c r="B697" s="2" t="n"/>
      <c r="C697" s="2" t="n"/>
      <c r="D697" s="2" t="n"/>
    </row>
    <row r="698" ht="14.25" customHeight="1" s="46">
      <c r="A698" s="2" t="n"/>
      <c r="B698" s="2" t="n"/>
      <c r="C698" s="2" t="n"/>
      <c r="D698" s="2" t="n"/>
    </row>
    <row r="699" ht="14.25" customHeight="1" s="46">
      <c r="A699" s="2" t="n"/>
      <c r="B699" s="2" t="n"/>
      <c r="C699" s="2" t="n"/>
      <c r="D699" s="2" t="n"/>
    </row>
    <row r="700" ht="14.25" customHeight="1" s="46">
      <c r="A700" s="2" t="n"/>
      <c r="B700" s="2" t="n"/>
      <c r="C700" s="2" t="n"/>
      <c r="D700" s="2" t="n"/>
    </row>
    <row r="701" ht="14.25" customHeight="1" s="46">
      <c r="A701" s="2" t="n"/>
      <c r="B701" s="2" t="n"/>
      <c r="C701" s="2" t="n"/>
      <c r="D701" s="2" t="n"/>
    </row>
    <row r="702" ht="14.25" customHeight="1" s="46">
      <c r="A702" s="2" t="n"/>
      <c r="B702" s="2" t="n"/>
      <c r="C702" s="2" t="n"/>
      <c r="D702" s="2" t="n"/>
    </row>
    <row r="703" ht="14.25" customHeight="1" s="46">
      <c r="A703" s="2" t="n"/>
      <c r="B703" s="2" t="n"/>
      <c r="C703" s="2" t="n"/>
      <c r="D703" s="2" t="n"/>
    </row>
    <row r="704" ht="14.25" customHeight="1" s="46">
      <c r="A704" s="2" t="n"/>
      <c r="B704" s="2" t="n"/>
      <c r="C704" s="2" t="n"/>
      <c r="D704" s="2" t="n"/>
    </row>
    <row r="705" ht="14.25" customHeight="1" s="46">
      <c r="A705" s="2" t="n"/>
      <c r="B705" s="2" t="n"/>
      <c r="C705" s="2" t="n"/>
      <c r="D705" s="2" t="n"/>
    </row>
    <row r="706" ht="14.25" customHeight="1" s="46">
      <c r="A706" s="2" t="n"/>
      <c r="B706" s="2" t="n"/>
      <c r="C706" s="2" t="n"/>
      <c r="D706" s="2" t="n"/>
    </row>
    <row r="707" ht="14.25" customHeight="1" s="46">
      <c r="A707" s="2" t="n"/>
      <c r="B707" s="2" t="n"/>
      <c r="C707" s="2" t="n"/>
      <c r="D707" s="2" t="n"/>
    </row>
    <row r="708" ht="14.25" customHeight="1" s="46">
      <c r="A708" s="2" t="n"/>
      <c r="B708" s="2" t="n"/>
      <c r="C708" s="2" t="n"/>
      <c r="D708" s="2" t="n"/>
    </row>
    <row r="709" ht="14.25" customHeight="1" s="46">
      <c r="A709" s="2" t="n"/>
      <c r="B709" s="2" t="n"/>
      <c r="C709" s="2" t="n"/>
      <c r="D709" s="2" t="n"/>
    </row>
    <row r="710" ht="14.25" customHeight="1" s="46">
      <c r="A710" s="2" t="n"/>
      <c r="B710" s="2" t="n"/>
      <c r="C710" s="2" t="n"/>
      <c r="D710" s="2" t="n"/>
    </row>
    <row r="711" ht="14.25" customHeight="1" s="46">
      <c r="A711" s="2" t="n"/>
      <c r="B711" s="2" t="n"/>
      <c r="C711" s="2" t="n"/>
      <c r="D711" s="2" t="n"/>
    </row>
    <row r="712" ht="14.25" customHeight="1" s="46">
      <c r="A712" s="2" t="n"/>
      <c r="B712" s="2" t="n"/>
      <c r="C712" s="2" t="n"/>
      <c r="D712" s="2" t="n"/>
    </row>
    <row r="713" ht="14.25" customHeight="1" s="46">
      <c r="A713" s="2" t="n"/>
      <c r="B713" s="2" t="n"/>
      <c r="C713" s="2" t="n"/>
      <c r="D713" s="2" t="n"/>
    </row>
    <row r="714" ht="14.25" customHeight="1" s="46">
      <c r="A714" s="2" t="n"/>
      <c r="B714" s="2" t="n"/>
      <c r="C714" s="2" t="n"/>
      <c r="D714" s="2" t="n"/>
    </row>
    <row r="715" ht="14.25" customHeight="1" s="46">
      <c r="A715" s="2" t="n"/>
      <c r="B715" s="2" t="n"/>
      <c r="C715" s="2" t="n"/>
      <c r="D715" s="2" t="n"/>
    </row>
    <row r="716" ht="14.25" customHeight="1" s="46">
      <c r="A716" s="2" t="n"/>
      <c r="B716" s="2" t="n"/>
      <c r="C716" s="2" t="n"/>
      <c r="D716" s="2" t="n"/>
    </row>
    <row r="717" ht="14.25" customHeight="1" s="46">
      <c r="A717" s="2" t="n"/>
      <c r="B717" s="2" t="n"/>
      <c r="C717" s="2" t="n"/>
      <c r="D717" s="2" t="n"/>
    </row>
    <row r="718" ht="14.25" customHeight="1" s="46">
      <c r="A718" s="2" t="n"/>
      <c r="B718" s="2" t="n"/>
      <c r="C718" s="2" t="n"/>
      <c r="D718" s="2" t="n"/>
    </row>
    <row r="719" ht="14.25" customHeight="1" s="46">
      <c r="A719" s="2" t="n"/>
      <c r="B719" s="2" t="n"/>
      <c r="C719" s="2" t="n"/>
      <c r="D719" s="2" t="n"/>
    </row>
    <row r="720" ht="14.25" customHeight="1" s="46">
      <c r="A720" s="2" t="n"/>
      <c r="B720" s="2" t="n"/>
      <c r="C720" s="2" t="n"/>
      <c r="D720" s="2" t="n"/>
    </row>
    <row r="721" ht="14.25" customHeight="1" s="46">
      <c r="A721" s="2" t="n"/>
      <c r="B721" s="2" t="n"/>
      <c r="C721" s="2" t="n"/>
      <c r="D721" s="2" t="n"/>
    </row>
    <row r="722" ht="14.25" customHeight="1" s="46">
      <c r="A722" s="2" t="n"/>
      <c r="B722" s="2" t="n"/>
      <c r="C722" s="2" t="n"/>
      <c r="D722" s="2" t="n"/>
    </row>
    <row r="723" ht="14.25" customHeight="1" s="46">
      <c r="A723" s="2" t="n"/>
      <c r="B723" s="2" t="n"/>
      <c r="C723" s="2" t="n"/>
      <c r="D723" s="2" t="n"/>
    </row>
    <row r="724" ht="14.25" customHeight="1" s="46">
      <c r="A724" s="2" t="n"/>
      <c r="B724" s="2" t="n"/>
      <c r="C724" s="2" t="n"/>
      <c r="D724" s="2" t="n"/>
    </row>
    <row r="725" ht="14.25" customHeight="1" s="46">
      <c r="A725" s="2" t="n"/>
      <c r="B725" s="2" t="n"/>
      <c r="C725" s="2" t="n"/>
      <c r="D725" s="2" t="n"/>
    </row>
    <row r="726" ht="14.25" customHeight="1" s="46">
      <c r="A726" s="2" t="n"/>
      <c r="B726" s="2" t="n"/>
      <c r="C726" s="2" t="n"/>
      <c r="D726" s="2" t="n"/>
    </row>
    <row r="727" ht="14.25" customHeight="1" s="46">
      <c r="A727" s="2" t="n"/>
      <c r="B727" s="2" t="n"/>
      <c r="C727" s="2" t="n"/>
      <c r="D727" s="2" t="n"/>
    </row>
    <row r="728" ht="14.25" customHeight="1" s="46">
      <c r="A728" s="2" t="n"/>
      <c r="B728" s="2" t="n"/>
      <c r="C728" s="2" t="n"/>
      <c r="D728" s="2" t="n"/>
    </row>
    <row r="729" ht="14.25" customHeight="1" s="46">
      <c r="A729" s="2" t="n"/>
      <c r="B729" s="2" t="n"/>
      <c r="C729" s="2" t="n"/>
      <c r="D729" s="2" t="n"/>
    </row>
    <row r="730" ht="14.25" customHeight="1" s="46">
      <c r="A730" s="2" t="n"/>
      <c r="B730" s="2" t="n"/>
      <c r="C730" s="2" t="n"/>
      <c r="D730" s="2" t="n"/>
    </row>
    <row r="731" ht="14.25" customHeight="1" s="46">
      <c r="A731" s="2" t="n"/>
      <c r="B731" s="2" t="n"/>
      <c r="C731" s="2" t="n"/>
      <c r="D731" s="2" t="n"/>
    </row>
    <row r="732" ht="14.25" customHeight="1" s="46">
      <c r="A732" s="2" t="n"/>
      <c r="B732" s="2" t="n"/>
      <c r="C732" s="2" t="n"/>
      <c r="D732" s="2" t="n"/>
    </row>
    <row r="733" ht="14.25" customHeight="1" s="46">
      <c r="A733" s="2" t="n"/>
      <c r="B733" s="2" t="n"/>
      <c r="C733" s="2" t="n"/>
      <c r="D733" s="2" t="n"/>
    </row>
    <row r="734" ht="14.25" customHeight="1" s="46">
      <c r="A734" s="2" t="n"/>
      <c r="B734" s="2" t="n"/>
      <c r="C734" s="2" t="n"/>
      <c r="D734" s="2" t="n"/>
    </row>
    <row r="735" ht="14.25" customHeight="1" s="46">
      <c r="A735" s="2" t="n"/>
      <c r="B735" s="2" t="n"/>
      <c r="C735" s="2" t="n"/>
      <c r="D735" s="2" t="n"/>
    </row>
    <row r="736" ht="14.25" customHeight="1" s="46">
      <c r="A736" s="2" t="n"/>
      <c r="B736" s="2" t="n"/>
      <c r="C736" s="2" t="n"/>
      <c r="D736" s="2" t="n"/>
    </row>
    <row r="737" ht="14.25" customHeight="1" s="46">
      <c r="A737" s="2" t="n"/>
      <c r="B737" s="2" t="n"/>
      <c r="C737" s="2" t="n"/>
      <c r="D737" s="2" t="n"/>
    </row>
    <row r="738" ht="14.25" customHeight="1" s="46">
      <c r="A738" s="2" t="n"/>
      <c r="B738" s="2" t="n"/>
      <c r="C738" s="2" t="n"/>
      <c r="D738" s="2" t="n"/>
    </row>
    <row r="739" ht="14.25" customHeight="1" s="46">
      <c r="A739" s="2" t="n"/>
      <c r="B739" s="2" t="n"/>
      <c r="C739" s="2" t="n"/>
      <c r="D739" s="2" t="n"/>
    </row>
    <row r="740" ht="14.25" customHeight="1" s="46">
      <c r="A740" s="2" t="n"/>
      <c r="B740" s="2" t="n"/>
      <c r="C740" s="2" t="n"/>
      <c r="D740" s="2" t="n"/>
    </row>
    <row r="741" ht="14.25" customHeight="1" s="46">
      <c r="A741" s="2" t="n"/>
      <c r="B741" s="2" t="n"/>
      <c r="C741" s="2" t="n"/>
      <c r="D741" s="2" t="n"/>
    </row>
    <row r="742" ht="14.25" customHeight="1" s="46">
      <c r="A742" s="2" t="n"/>
      <c r="B742" s="2" t="n"/>
      <c r="C742" s="2" t="n"/>
      <c r="D742" s="2" t="n"/>
    </row>
    <row r="743" ht="14.25" customHeight="1" s="46">
      <c r="A743" s="2" t="n"/>
      <c r="B743" s="2" t="n"/>
      <c r="C743" s="2" t="n"/>
      <c r="D743" s="2" t="n"/>
    </row>
    <row r="744" ht="14.25" customHeight="1" s="46">
      <c r="A744" s="2" t="n"/>
      <c r="B744" s="2" t="n"/>
      <c r="C744" s="2" t="n"/>
      <c r="D744" s="2" t="n"/>
    </row>
    <row r="745" ht="14.25" customHeight="1" s="46">
      <c r="A745" s="2" t="n"/>
      <c r="B745" s="2" t="n"/>
      <c r="C745" s="2" t="n"/>
      <c r="D745" s="2" t="n"/>
    </row>
    <row r="746" ht="14.25" customHeight="1" s="46">
      <c r="A746" s="2" t="n"/>
      <c r="B746" s="2" t="n"/>
      <c r="C746" s="2" t="n"/>
      <c r="D746" s="2" t="n"/>
    </row>
    <row r="747" ht="14.25" customHeight="1" s="46">
      <c r="A747" s="2" t="n"/>
      <c r="B747" s="2" t="n"/>
      <c r="C747" s="2" t="n"/>
      <c r="D747" s="2" t="n"/>
    </row>
    <row r="748" ht="14.25" customHeight="1" s="46">
      <c r="A748" s="2" t="n"/>
      <c r="B748" s="2" t="n"/>
      <c r="C748" s="2" t="n"/>
      <c r="D748" s="2" t="n"/>
    </row>
    <row r="749" ht="14.25" customHeight="1" s="46">
      <c r="A749" s="2" t="n"/>
      <c r="B749" s="2" t="n"/>
      <c r="C749" s="2" t="n"/>
      <c r="D749" s="2" t="n"/>
    </row>
    <row r="750" ht="14.25" customHeight="1" s="46">
      <c r="A750" s="2" t="n"/>
      <c r="B750" s="2" t="n"/>
      <c r="C750" s="2" t="n"/>
      <c r="D750" s="2" t="n"/>
    </row>
    <row r="751" ht="14.25" customHeight="1" s="46">
      <c r="A751" s="2" t="n"/>
      <c r="B751" s="2" t="n"/>
      <c r="C751" s="2" t="n"/>
      <c r="D751" s="2" t="n"/>
    </row>
    <row r="752" ht="14.25" customHeight="1" s="46">
      <c r="A752" s="2" t="n"/>
      <c r="B752" s="2" t="n"/>
      <c r="C752" s="2" t="n"/>
      <c r="D752" s="2" t="n"/>
    </row>
    <row r="753" ht="14.25" customHeight="1" s="46">
      <c r="A753" s="2" t="n"/>
      <c r="B753" s="2" t="n"/>
      <c r="C753" s="2" t="n"/>
      <c r="D753" s="2" t="n"/>
    </row>
    <row r="754" ht="14.25" customHeight="1" s="46">
      <c r="A754" s="2" t="n"/>
      <c r="B754" s="2" t="n"/>
      <c r="C754" s="2" t="n"/>
      <c r="D754" s="2" t="n"/>
    </row>
    <row r="755" ht="14.25" customHeight="1" s="46">
      <c r="A755" s="2" t="n"/>
      <c r="B755" s="2" t="n"/>
      <c r="C755" s="2" t="n"/>
      <c r="D755" s="2" t="n"/>
    </row>
    <row r="756" ht="14.25" customHeight="1" s="46">
      <c r="A756" s="2" t="n"/>
      <c r="B756" s="2" t="n"/>
      <c r="C756" s="2" t="n"/>
      <c r="D756" s="2" t="n"/>
    </row>
    <row r="757" ht="14.25" customHeight="1" s="46">
      <c r="A757" s="2" t="n"/>
      <c r="B757" s="2" t="n"/>
      <c r="C757" s="2" t="n"/>
      <c r="D757" s="2" t="n"/>
    </row>
    <row r="758" ht="14.25" customHeight="1" s="46">
      <c r="A758" s="2" t="n"/>
      <c r="B758" s="2" t="n"/>
      <c r="C758" s="2" t="n"/>
      <c r="D758" s="2" t="n"/>
    </row>
    <row r="759" ht="14.25" customHeight="1" s="46">
      <c r="A759" s="2" t="n"/>
      <c r="B759" s="2" t="n"/>
      <c r="C759" s="2" t="n"/>
      <c r="D759" s="2" t="n"/>
    </row>
    <row r="760" ht="14.25" customHeight="1" s="46">
      <c r="A760" s="2" t="n"/>
      <c r="B760" s="2" t="n"/>
      <c r="C760" s="2" t="n"/>
      <c r="D760" s="2" t="n"/>
    </row>
    <row r="761" ht="14.25" customHeight="1" s="46">
      <c r="A761" s="2" t="n"/>
      <c r="B761" s="2" t="n"/>
      <c r="C761" s="2" t="n"/>
      <c r="D761" s="2" t="n"/>
    </row>
    <row r="762" ht="14.25" customHeight="1" s="46">
      <c r="A762" s="2" t="n"/>
      <c r="B762" s="2" t="n"/>
      <c r="C762" s="2" t="n"/>
      <c r="D762" s="2" t="n"/>
    </row>
    <row r="763" ht="14.25" customHeight="1" s="46">
      <c r="A763" s="2" t="n"/>
      <c r="B763" s="2" t="n"/>
      <c r="C763" s="2" t="n"/>
      <c r="D763" s="2" t="n"/>
    </row>
    <row r="764" ht="14.25" customHeight="1" s="46">
      <c r="A764" s="2" t="n"/>
      <c r="B764" s="2" t="n"/>
      <c r="C764" s="2" t="n"/>
      <c r="D764" s="2" t="n"/>
    </row>
    <row r="765" ht="14.25" customHeight="1" s="46">
      <c r="A765" s="2" t="n"/>
      <c r="B765" s="2" t="n"/>
      <c r="C765" s="2" t="n"/>
      <c r="D765" s="2" t="n"/>
    </row>
    <row r="766" ht="14.25" customHeight="1" s="46">
      <c r="A766" s="2" t="n"/>
      <c r="B766" s="2" t="n"/>
      <c r="C766" s="2" t="n"/>
      <c r="D766" s="2" t="n"/>
    </row>
    <row r="767" ht="14.25" customHeight="1" s="46">
      <c r="A767" s="2" t="n"/>
      <c r="B767" s="2" t="n"/>
      <c r="C767" s="2" t="n"/>
      <c r="D767" s="2" t="n"/>
    </row>
    <row r="768" ht="14.25" customHeight="1" s="46">
      <c r="A768" s="2" t="n"/>
      <c r="B768" s="2" t="n"/>
      <c r="C768" s="2" t="n"/>
      <c r="D768" s="2" t="n"/>
    </row>
    <row r="769" ht="14.25" customHeight="1" s="46">
      <c r="A769" s="2" t="n"/>
      <c r="B769" s="2" t="n"/>
      <c r="C769" s="2" t="n"/>
      <c r="D769" s="2" t="n"/>
    </row>
    <row r="770" ht="14.25" customHeight="1" s="46">
      <c r="A770" s="2" t="n"/>
      <c r="B770" s="2" t="n"/>
      <c r="C770" s="2" t="n"/>
      <c r="D770" s="2" t="n"/>
    </row>
    <row r="771" ht="14.25" customHeight="1" s="46">
      <c r="A771" s="2" t="n"/>
      <c r="B771" s="2" t="n"/>
      <c r="C771" s="2" t="n"/>
      <c r="D771" s="2" t="n"/>
    </row>
    <row r="772" ht="14.25" customHeight="1" s="46">
      <c r="A772" s="2" t="n"/>
      <c r="B772" s="2" t="n"/>
      <c r="C772" s="2" t="n"/>
      <c r="D772" s="2" t="n"/>
    </row>
    <row r="773" ht="14.25" customHeight="1" s="46">
      <c r="A773" s="2" t="n"/>
      <c r="B773" s="2" t="n"/>
      <c r="C773" s="2" t="n"/>
      <c r="D773" s="2" t="n"/>
    </row>
    <row r="774" ht="14.25" customHeight="1" s="46">
      <c r="A774" s="2" t="n"/>
      <c r="B774" s="2" t="n"/>
      <c r="C774" s="2" t="n"/>
      <c r="D774" s="2" t="n"/>
    </row>
    <row r="775" ht="14.25" customHeight="1" s="46">
      <c r="A775" s="2" t="n"/>
      <c r="B775" s="2" t="n"/>
      <c r="C775" s="2" t="n"/>
      <c r="D775" s="2" t="n"/>
    </row>
    <row r="776" ht="14.25" customHeight="1" s="46">
      <c r="A776" s="2" t="n"/>
      <c r="B776" s="2" t="n"/>
      <c r="C776" s="2" t="n"/>
      <c r="D776" s="2" t="n"/>
    </row>
    <row r="777" ht="14.25" customHeight="1" s="46">
      <c r="A777" s="2" t="n"/>
      <c r="B777" s="2" t="n"/>
      <c r="C777" s="2" t="n"/>
      <c r="D777" s="2" t="n"/>
    </row>
    <row r="778" ht="14.25" customHeight="1" s="46">
      <c r="A778" s="2" t="n"/>
      <c r="B778" s="2" t="n"/>
      <c r="C778" s="2" t="n"/>
      <c r="D778" s="2" t="n"/>
    </row>
    <row r="779" ht="14.25" customHeight="1" s="46">
      <c r="A779" s="2" t="n"/>
      <c r="B779" s="2" t="n"/>
      <c r="C779" s="2" t="n"/>
      <c r="D779" s="2" t="n"/>
    </row>
    <row r="780" ht="14.25" customHeight="1" s="46">
      <c r="A780" s="2" t="n"/>
      <c r="B780" s="2" t="n"/>
      <c r="C780" s="2" t="n"/>
      <c r="D780" s="2" t="n"/>
    </row>
    <row r="781" ht="14.25" customHeight="1" s="46">
      <c r="A781" s="2" t="n"/>
      <c r="B781" s="2" t="n"/>
      <c r="C781" s="2" t="n"/>
      <c r="D781" s="2" t="n"/>
    </row>
    <row r="782" ht="14.25" customHeight="1" s="46">
      <c r="A782" s="2" t="n"/>
      <c r="B782" s="2" t="n"/>
      <c r="C782" s="2" t="n"/>
      <c r="D782" s="2" t="n"/>
    </row>
    <row r="783" ht="14.25" customHeight="1" s="46">
      <c r="A783" s="2" t="n"/>
      <c r="B783" s="2" t="n"/>
      <c r="C783" s="2" t="n"/>
      <c r="D783" s="2" t="n"/>
    </row>
    <row r="784" ht="14.25" customHeight="1" s="46">
      <c r="A784" s="2" t="n"/>
      <c r="B784" s="2" t="n"/>
      <c r="C784" s="2" t="n"/>
      <c r="D784" s="2" t="n"/>
    </row>
    <row r="785" ht="14.25" customHeight="1" s="46">
      <c r="A785" s="2" t="n"/>
      <c r="B785" s="2" t="n"/>
      <c r="C785" s="2" t="n"/>
      <c r="D785" s="2" t="n"/>
    </row>
    <row r="786" ht="14.25" customHeight="1" s="46">
      <c r="A786" s="2" t="n"/>
      <c r="B786" s="2" t="n"/>
      <c r="C786" s="2" t="n"/>
      <c r="D786" s="2" t="n"/>
    </row>
    <row r="787" ht="14.25" customHeight="1" s="46">
      <c r="A787" s="2" t="n"/>
      <c r="B787" s="2" t="n"/>
      <c r="C787" s="2" t="n"/>
      <c r="D787" s="2" t="n"/>
    </row>
    <row r="788" ht="14.25" customHeight="1" s="46">
      <c r="A788" s="2" t="n"/>
      <c r="B788" s="2" t="n"/>
      <c r="C788" s="2" t="n"/>
      <c r="D788" s="2" t="n"/>
    </row>
    <row r="789" ht="14.25" customHeight="1" s="46">
      <c r="A789" s="2" t="n"/>
      <c r="B789" s="2" t="n"/>
      <c r="C789" s="2" t="n"/>
      <c r="D789" s="2" t="n"/>
    </row>
    <row r="790" ht="14.25" customHeight="1" s="46">
      <c r="A790" s="2" t="n"/>
      <c r="B790" s="2" t="n"/>
      <c r="C790" s="2" t="n"/>
      <c r="D790" s="2" t="n"/>
    </row>
    <row r="791" ht="14.25" customHeight="1" s="46">
      <c r="A791" s="2" t="n"/>
      <c r="B791" s="2" t="n"/>
      <c r="C791" s="2" t="n"/>
      <c r="D791" s="2" t="n"/>
    </row>
    <row r="792" ht="14.25" customHeight="1" s="46">
      <c r="A792" s="2" t="n"/>
      <c r="B792" s="2" t="n"/>
      <c r="C792" s="2" t="n"/>
      <c r="D792" s="2" t="n"/>
    </row>
    <row r="793" ht="14.25" customHeight="1" s="46">
      <c r="A793" s="2" t="n"/>
      <c r="B793" s="2" t="n"/>
      <c r="C793" s="2" t="n"/>
      <c r="D793" s="2" t="n"/>
    </row>
    <row r="794" ht="14.25" customHeight="1" s="46">
      <c r="A794" s="2" t="n"/>
      <c r="B794" s="2" t="n"/>
      <c r="C794" s="2" t="n"/>
      <c r="D794" s="2" t="n"/>
    </row>
    <row r="795" ht="14.25" customHeight="1" s="46">
      <c r="A795" s="2" t="n"/>
      <c r="B795" s="2" t="n"/>
      <c r="C795" s="2" t="n"/>
      <c r="D795" s="2" t="n"/>
    </row>
    <row r="796" ht="14.25" customHeight="1" s="46">
      <c r="A796" s="2" t="n"/>
      <c r="B796" s="2" t="n"/>
      <c r="C796" s="2" t="n"/>
      <c r="D796" s="2" t="n"/>
    </row>
    <row r="797" ht="14.25" customHeight="1" s="46">
      <c r="A797" s="2" t="n"/>
      <c r="B797" s="2" t="n"/>
      <c r="C797" s="2" t="n"/>
      <c r="D797" s="2" t="n"/>
    </row>
    <row r="798" ht="14.25" customHeight="1" s="46">
      <c r="A798" s="2" t="n"/>
      <c r="B798" s="2" t="n"/>
      <c r="C798" s="2" t="n"/>
      <c r="D798" s="2" t="n"/>
    </row>
    <row r="799" ht="14.25" customHeight="1" s="46">
      <c r="A799" s="2" t="n"/>
      <c r="B799" s="2" t="n"/>
      <c r="C799" s="2" t="n"/>
      <c r="D799" s="2" t="n"/>
    </row>
    <row r="800" ht="14.25" customHeight="1" s="46">
      <c r="A800" s="2" t="n"/>
      <c r="B800" s="2" t="n"/>
      <c r="C800" s="2" t="n"/>
      <c r="D800" s="2" t="n"/>
    </row>
    <row r="801" ht="14.25" customHeight="1" s="46">
      <c r="A801" s="2" t="n"/>
      <c r="B801" s="2" t="n"/>
      <c r="C801" s="2" t="n"/>
      <c r="D801" s="2" t="n"/>
    </row>
    <row r="802" ht="14.25" customHeight="1" s="46">
      <c r="A802" s="2" t="n"/>
      <c r="B802" s="2" t="n"/>
      <c r="C802" s="2" t="n"/>
      <c r="D802" s="2" t="n"/>
    </row>
    <row r="803" ht="14.25" customHeight="1" s="46">
      <c r="A803" s="2" t="n"/>
      <c r="B803" s="2" t="n"/>
      <c r="C803" s="2" t="n"/>
      <c r="D803" s="2" t="n"/>
    </row>
    <row r="804" ht="14.25" customHeight="1" s="46">
      <c r="A804" s="2" t="n"/>
      <c r="B804" s="2" t="n"/>
      <c r="C804" s="2" t="n"/>
      <c r="D804" s="2" t="n"/>
    </row>
    <row r="805" ht="14.25" customHeight="1" s="46">
      <c r="A805" s="2" t="n"/>
      <c r="B805" s="2" t="n"/>
      <c r="C805" s="2" t="n"/>
      <c r="D805" s="2" t="n"/>
    </row>
    <row r="806" ht="14.25" customHeight="1" s="46">
      <c r="A806" s="2" t="n"/>
      <c r="B806" s="2" t="n"/>
      <c r="C806" s="2" t="n"/>
      <c r="D806" s="2" t="n"/>
    </row>
    <row r="807" ht="14.25" customHeight="1" s="46">
      <c r="A807" s="2" t="n"/>
      <c r="B807" s="2" t="n"/>
      <c r="C807" s="2" t="n"/>
      <c r="D807" s="2" t="n"/>
    </row>
    <row r="808" ht="14.25" customHeight="1" s="46">
      <c r="A808" s="2" t="n"/>
      <c r="B808" s="2" t="n"/>
      <c r="C808" s="2" t="n"/>
      <c r="D808" s="2" t="n"/>
    </row>
    <row r="809" ht="14.25" customHeight="1" s="46">
      <c r="A809" s="2" t="n"/>
      <c r="B809" s="2" t="n"/>
      <c r="C809" s="2" t="n"/>
      <c r="D809" s="2" t="n"/>
    </row>
    <row r="810" ht="14.25" customHeight="1" s="46">
      <c r="A810" s="2" t="n"/>
      <c r="B810" s="2" t="n"/>
      <c r="C810" s="2" t="n"/>
      <c r="D810" s="2" t="n"/>
    </row>
    <row r="811" ht="14.25" customHeight="1" s="46">
      <c r="A811" s="2" t="n"/>
      <c r="B811" s="2" t="n"/>
      <c r="C811" s="2" t="n"/>
      <c r="D811" s="2" t="n"/>
    </row>
    <row r="812" ht="14.25" customHeight="1" s="46">
      <c r="A812" s="2" t="n"/>
      <c r="B812" s="2" t="n"/>
      <c r="C812" s="2" t="n"/>
      <c r="D812" s="2" t="n"/>
    </row>
    <row r="813" ht="14.25" customHeight="1" s="46">
      <c r="A813" s="2" t="n"/>
      <c r="B813" s="2" t="n"/>
      <c r="C813" s="2" t="n"/>
      <c r="D813" s="2" t="n"/>
    </row>
    <row r="814" ht="14.25" customHeight="1" s="46">
      <c r="A814" s="2" t="n"/>
      <c r="B814" s="2" t="n"/>
      <c r="C814" s="2" t="n"/>
      <c r="D814" s="2" t="n"/>
    </row>
    <row r="815" ht="14.25" customHeight="1" s="46">
      <c r="A815" s="2" t="n"/>
      <c r="B815" s="2" t="n"/>
      <c r="C815" s="2" t="n"/>
      <c r="D815" s="2" t="n"/>
    </row>
    <row r="816" ht="14.25" customHeight="1" s="46">
      <c r="A816" s="2" t="n"/>
      <c r="B816" s="2" t="n"/>
      <c r="C816" s="2" t="n"/>
      <c r="D816" s="2" t="n"/>
    </row>
    <row r="817" ht="14.25" customHeight="1" s="46">
      <c r="A817" s="2" t="n"/>
      <c r="B817" s="2" t="n"/>
      <c r="C817" s="2" t="n"/>
      <c r="D817" s="2" t="n"/>
    </row>
    <row r="818" ht="14.25" customHeight="1" s="46">
      <c r="A818" s="2" t="n"/>
      <c r="B818" s="2" t="n"/>
      <c r="C818" s="2" t="n"/>
      <c r="D818" s="2" t="n"/>
    </row>
    <row r="819" ht="14.25" customHeight="1" s="46">
      <c r="A819" s="2" t="n"/>
      <c r="B819" s="2" t="n"/>
      <c r="C819" s="2" t="n"/>
      <c r="D819" s="2" t="n"/>
    </row>
    <row r="820" ht="14.25" customHeight="1" s="46">
      <c r="A820" s="2" t="n"/>
      <c r="B820" s="2" t="n"/>
      <c r="C820" s="2" t="n"/>
      <c r="D820" s="2" t="n"/>
    </row>
    <row r="821" ht="14.25" customHeight="1" s="46">
      <c r="A821" s="2" t="n"/>
      <c r="B821" s="2" t="n"/>
      <c r="C821" s="2" t="n"/>
      <c r="D821" s="2" t="n"/>
    </row>
    <row r="822" ht="14.25" customHeight="1" s="46">
      <c r="A822" s="2" t="n"/>
      <c r="B822" s="2" t="n"/>
      <c r="C822" s="2" t="n"/>
      <c r="D822" s="2" t="n"/>
    </row>
    <row r="823" ht="14.25" customHeight="1" s="46">
      <c r="A823" s="2" t="n"/>
      <c r="B823" s="2" t="n"/>
      <c r="C823" s="2" t="n"/>
      <c r="D823" s="2" t="n"/>
    </row>
    <row r="824" ht="14.25" customHeight="1" s="46">
      <c r="A824" s="2" t="n"/>
      <c r="B824" s="2" t="n"/>
      <c r="C824" s="2" t="n"/>
      <c r="D824" s="2" t="n"/>
    </row>
    <row r="825" ht="14.25" customHeight="1" s="46">
      <c r="A825" s="2" t="n"/>
      <c r="B825" s="2" t="n"/>
      <c r="C825" s="2" t="n"/>
      <c r="D825" s="2" t="n"/>
    </row>
    <row r="826" ht="14.25" customHeight="1" s="46">
      <c r="A826" s="2" t="n"/>
      <c r="B826" s="2" t="n"/>
      <c r="C826" s="2" t="n"/>
      <c r="D826" s="2" t="n"/>
    </row>
    <row r="827" ht="14.25" customHeight="1" s="46">
      <c r="A827" s="2" t="n"/>
      <c r="B827" s="2" t="n"/>
      <c r="C827" s="2" t="n"/>
      <c r="D827" s="2" t="n"/>
    </row>
    <row r="828" ht="14.25" customHeight="1" s="46">
      <c r="A828" s="2" t="n"/>
      <c r="B828" s="2" t="n"/>
      <c r="C828" s="2" t="n"/>
      <c r="D828" s="2" t="n"/>
    </row>
    <row r="829" ht="14.25" customHeight="1" s="46">
      <c r="A829" s="2" t="n"/>
      <c r="B829" s="2" t="n"/>
      <c r="C829" s="2" t="n"/>
      <c r="D829" s="2" t="n"/>
    </row>
    <row r="830" ht="14.25" customHeight="1" s="46">
      <c r="A830" s="2" t="n"/>
      <c r="B830" s="2" t="n"/>
      <c r="C830" s="2" t="n"/>
      <c r="D830" s="2" t="n"/>
    </row>
    <row r="831" ht="14.25" customHeight="1" s="46">
      <c r="A831" s="2" t="n"/>
      <c r="B831" s="2" t="n"/>
      <c r="C831" s="2" t="n"/>
      <c r="D831" s="2" t="n"/>
    </row>
    <row r="832" ht="14.25" customHeight="1" s="46">
      <c r="A832" s="2" t="n"/>
      <c r="B832" s="2" t="n"/>
      <c r="C832" s="2" t="n"/>
      <c r="D832" s="2" t="n"/>
    </row>
    <row r="833" ht="14.25" customHeight="1" s="46">
      <c r="A833" s="2" t="n"/>
      <c r="B833" s="2" t="n"/>
      <c r="C833" s="2" t="n"/>
      <c r="D833" s="2" t="n"/>
    </row>
    <row r="834" ht="14.25" customHeight="1" s="46">
      <c r="A834" s="2" t="n"/>
      <c r="B834" s="2" t="n"/>
      <c r="C834" s="2" t="n"/>
      <c r="D834" s="2" t="n"/>
    </row>
    <row r="835" ht="14.25" customHeight="1" s="46">
      <c r="A835" s="2" t="n"/>
      <c r="B835" s="2" t="n"/>
      <c r="C835" s="2" t="n"/>
      <c r="D835" s="2" t="n"/>
    </row>
    <row r="836" ht="14.25" customHeight="1" s="46">
      <c r="A836" s="2" t="n"/>
      <c r="B836" s="2" t="n"/>
      <c r="C836" s="2" t="n"/>
      <c r="D836" s="2" t="n"/>
    </row>
    <row r="837" ht="14.25" customHeight="1" s="46">
      <c r="A837" s="2" t="n"/>
      <c r="B837" s="2" t="n"/>
      <c r="C837" s="2" t="n"/>
      <c r="D837" s="2" t="n"/>
    </row>
    <row r="838" ht="14.25" customHeight="1" s="46">
      <c r="A838" s="2" t="n"/>
      <c r="B838" s="2" t="n"/>
      <c r="C838" s="2" t="n"/>
      <c r="D838" s="2" t="n"/>
    </row>
    <row r="839" ht="14.25" customHeight="1" s="46">
      <c r="A839" s="2" t="n"/>
      <c r="B839" s="2" t="n"/>
      <c r="C839" s="2" t="n"/>
      <c r="D839" s="2" t="n"/>
    </row>
    <row r="840" ht="14.25" customHeight="1" s="46">
      <c r="A840" s="2" t="n"/>
      <c r="B840" s="2" t="n"/>
      <c r="C840" s="2" t="n"/>
      <c r="D840" s="2" t="n"/>
    </row>
    <row r="841" ht="14.25" customHeight="1" s="46">
      <c r="A841" s="2" t="n"/>
      <c r="B841" s="2" t="n"/>
      <c r="C841" s="2" t="n"/>
      <c r="D841" s="2" t="n"/>
    </row>
    <row r="842" ht="14.25" customHeight="1" s="46">
      <c r="A842" s="2" t="n"/>
      <c r="B842" s="2" t="n"/>
      <c r="C842" s="2" t="n"/>
      <c r="D842" s="2" t="n"/>
    </row>
    <row r="843" ht="14.25" customHeight="1" s="46">
      <c r="A843" s="2" t="n"/>
      <c r="B843" s="2" t="n"/>
      <c r="C843" s="2" t="n"/>
      <c r="D843" s="2" t="n"/>
    </row>
    <row r="844" ht="14.25" customHeight="1" s="46">
      <c r="A844" s="2" t="n"/>
      <c r="B844" s="2" t="n"/>
      <c r="C844" s="2" t="n"/>
      <c r="D844" s="2" t="n"/>
    </row>
    <row r="845" ht="14.25" customHeight="1" s="46">
      <c r="A845" s="2" t="n"/>
      <c r="B845" s="2" t="n"/>
      <c r="C845" s="2" t="n"/>
      <c r="D845" s="2" t="n"/>
    </row>
    <row r="846" ht="14.25" customHeight="1" s="46">
      <c r="A846" s="2" t="n"/>
      <c r="B846" s="2" t="n"/>
      <c r="C846" s="2" t="n"/>
      <c r="D846" s="2" t="n"/>
    </row>
    <row r="847" ht="14.25" customHeight="1" s="46">
      <c r="A847" s="2" t="n"/>
      <c r="B847" s="2" t="n"/>
      <c r="C847" s="2" t="n"/>
      <c r="D847" s="2" t="n"/>
    </row>
    <row r="848" ht="14.25" customHeight="1" s="46">
      <c r="A848" s="2" t="n"/>
      <c r="B848" s="2" t="n"/>
      <c r="C848" s="2" t="n"/>
      <c r="D848" s="2" t="n"/>
    </row>
    <row r="849" ht="14.25" customHeight="1" s="46">
      <c r="A849" s="2" t="n"/>
      <c r="B849" s="2" t="n"/>
      <c r="C849" s="2" t="n"/>
      <c r="D849" s="2" t="n"/>
    </row>
    <row r="850" ht="14.25" customHeight="1" s="46">
      <c r="A850" s="2" t="n"/>
      <c r="B850" s="2" t="n"/>
      <c r="C850" s="2" t="n"/>
      <c r="D850" s="2" t="n"/>
    </row>
    <row r="851" ht="14.25" customHeight="1" s="46">
      <c r="A851" s="2" t="n"/>
      <c r="B851" s="2" t="n"/>
      <c r="C851" s="2" t="n"/>
      <c r="D851" s="2" t="n"/>
    </row>
    <row r="852" ht="14.25" customHeight="1" s="46">
      <c r="A852" s="2" t="n"/>
      <c r="B852" s="2" t="n"/>
      <c r="C852" s="2" t="n"/>
      <c r="D852" s="2" t="n"/>
    </row>
    <row r="853" ht="14.25" customHeight="1" s="46">
      <c r="A853" s="2" t="n"/>
      <c r="B853" s="2" t="n"/>
      <c r="C853" s="2" t="n"/>
      <c r="D853" s="2" t="n"/>
    </row>
    <row r="854" ht="14.25" customHeight="1" s="46">
      <c r="A854" s="2" t="n"/>
      <c r="B854" s="2" t="n"/>
      <c r="C854" s="2" t="n"/>
      <c r="D854" s="2" t="n"/>
    </row>
    <row r="855" ht="14.25" customHeight="1" s="46">
      <c r="A855" s="2" t="n"/>
      <c r="B855" s="2" t="n"/>
      <c r="C855" s="2" t="n"/>
      <c r="D855" s="2" t="n"/>
    </row>
    <row r="856" ht="14.25" customHeight="1" s="46">
      <c r="A856" s="2" t="n"/>
      <c r="B856" s="2" t="n"/>
      <c r="C856" s="2" t="n"/>
      <c r="D856" s="2" t="n"/>
    </row>
    <row r="857" ht="14.25" customHeight="1" s="46">
      <c r="A857" s="2" t="n"/>
      <c r="B857" s="2" t="n"/>
      <c r="C857" s="2" t="n"/>
      <c r="D857" s="2" t="n"/>
    </row>
    <row r="858" ht="14.25" customHeight="1" s="46">
      <c r="A858" s="2" t="n"/>
      <c r="B858" s="2" t="n"/>
      <c r="C858" s="2" t="n"/>
      <c r="D858" s="2" t="n"/>
    </row>
    <row r="859" ht="14.25" customHeight="1" s="46">
      <c r="A859" s="2" t="n"/>
      <c r="B859" s="2" t="n"/>
      <c r="C859" s="2" t="n"/>
      <c r="D859" s="2" t="n"/>
    </row>
    <row r="860" ht="14.25" customHeight="1" s="46">
      <c r="A860" s="2" t="n"/>
      <c r="B860" s="2" t="n"/>
      <c r="C860" s="2" t="n"/>
      <c r="D860" s="2" t="n"/>
    </row>
    <row r="861" ht="14.25" customHeight="1" s="46">
      <c r="A861" s="2" t="n"/>
      <c r="B861" s="2" t="n"/>
      <c r="C861" s="2" t="n"/>
      <c r="D861" s="2" t="n"/>
    </row>
    <row r="862" ht="14.25" customHeight="1" s="46">
      <c r="A862" s="2" t="n"/>
      <c r="B862" s="2" t="n"/>
      <c r="C862" s="2" t="n"/>
      <c r="D862" s="2" t="n"/>
    </row>
    <row r="863" ht="14.25" customHeight="1" s="46">
      <c r="A863" s="2" t="n"/>
      <c r="B863" s="2" t="n"/>
      <c r="C863" s="2" t="n"/>
      <c r="D863" s="2" t="n"/>
    </row>
    <row r="864" ht="14.25" customHeight="1" s="46">
      <c r="A864" s="2" t="n"/>
      <c r="B864" s="2" t="n"/>
      <c r="C864" s="2" t="n"/>
      <c r="D864" s="2" t="n"/>
    </row>
    <row r="865" ht="14.25" customHeight="1" s="46">
      <c r="A865" s="2" t="n"/>
      <c r="B865" s="2" t="n"/>
      <c r="C865" s="2" t="n"/>
      <c r="D865" s="2" t="n"/>
    </row>
    <row r="866" ht="14.25" customHeight="1" s="46">
      <c r="A866" s="2" t="n"/>
      <c r="B866" s="2" t="n"/>
      <c r="C866" s="2" t="n"/>
      <c r="D866" s="2" t="n"/>
    </row>
    <row r="867" ht="14.25" customHeight="1" s="46">
      <c r="A867" s="2" t="n"/>
      <c r="B867" s="2" t="n"/>
      <c r="C867" s="2" t="n"/>
      <c r="D867" s="2" t="n"/>
    </row>
    <row r="868" ht="14.25" customHeight="1" s="46">
      <c r="A868" s="2" t="n"/>
      <c r="B868" s="2" t="n"/>
      <c r="C868" s="2" t="n"/>
      <c r="D868" s="2" t="n"/>
    </row>
    <row r="869" ht="14.25" customHeight="1" s="46">
      <c r="A869" s="2" t="n"/>
      <c r="B869" s="2" t="n"/>
      <c r="C869" s="2" t="n"/>
      <c r="D869" s="2" t="n"/>
    </row>
    <row r="870" ht="14.25" customHeight="1" s="46">
      <c r="A870" s="2" t="n"/>
      <c r="B870" s="2" t="n"/>
      <c r="C870" s="2" t="n"/>
      <c r="D870" s="2" t="n"/>
    </row>
    <row r="871" ht="14.25" customHeight="1" s="46">
      <c r="A871" s="2" t="n"/>
      <c r="B871" s="2" t="n"/>
      <c r="C871" s="2" t="n"/>
      <c r="D871" s="2" t="n"/>
    </row>
    <row r="872" ht="14.25" customHeight="1" s="46">
      <c r="A872" s="2" t="n"/>
      <c r="B872" s="2" t="n"/>
      <c r="C872" s="2" t="n"/>
      <c r="D872" s="2" t="n"/>
    </row>
    <row r="873" ht="14.25" customHeight="1" s="46">
      <c r="A873" s="2" t="n"/>
      <c r="B873" s="2" t="n"/>
      <c r="C873" s="2" t="n"/>
      <c r="D873" s="2" t="n"/>
    </row>
    <row r="874" ht="14.25" customHeight="1" s="46">
      <c r="A874" s="2" t="n"/>
      <c r="B874" s="2" t="n"/>
      <c r="C874" s="2" t="n"/>
      <c r="D874" s="2" t="n"/>
    </row>
    <row r="875" ht="14.25" customHeight="1" s="46">
      <c r="A875" s="2" t="n"/>
      <c r="B875" s="2" t="n"/>
      <c r="C875" s="2" t="n"/>
      <c r="D875" s="2" t="n"/>
    </row>
    <row r="876" ht="14.25" customHeight="1" s="46">
      <c r="A876" s="2" t="n"/>
      <c r="B876" s="2" t="n"/>
      <c r="C876" s="2" t="n"/>
      <c r="D876" s="2" t="n"/>
    </row>
    <row r="877" ht="14.25" customHeight="1" s="46">
      <c r="A877" s="2" t="n"/>
      <c r="B877" s="2" t="n"/>
      <c r="C877" s="2" t="n"/>
      <c r="D877" s="2" t="n"/>
    </row>
    <row r="878" ht="14.25" customHeight="1" s="46">
      <c r="A878" s="2" t="n"/>
      <c r="B878" s="2" t="n"/>
      <c r="C878" s="2" t="n"/>
      <c r="D878" s="2" t="n"/>
    </row>
    <row r="879" ht="14.25" customHeight="1" s="46">
      <c r="A879" s="2" t="n"/>
      <c r="B879" s="2" t="n"/>
      <c r="C879" s="2" t="n"/>
      <c r="D879" s="2" t="n"/>
    </row>
    <row r="880" ht="14.25" customHeight="1" s="46">
      <c r="A880" s="2" t="n"/>
      <c r="B880" s="2" t="n"/>
      <c r="C880" s="2" t="n"/>
      <c r="D880" s="2" t="n"/>
    </row>
    <row r="881" ht="14.25" customHeight="1" s="46">
      <c r="A881" s="2" t="n"/>
      <c r="B881" s="2" t="n"/>
      <c r="C881" s="2" t="n"/>
      <c r="D881" s="2" t="n"/>
    </row>
    <row r="882" ht="14.25" customHeight="1" s="46">
      <c r="A882" s="2" t="n"/>
      <c r="B882" s="2" t="n"/>
      <c r="C882" s="2" t="n"/>
      <c r="D882" s="2" t="n"/>
    </row>
    <row r="883" ht="14.25" customHeight="1" s="46">
      <c r="A883" s="2" t="n"/>
      <c r="B883" s="2" t="n"/>
      <c r="C883" s="2" t="n"/>
      <c r="D883" s="2" t="n"/>
    </row>
    <row r="884" ht="14.25" customHeight="1" s="46">
      <c r="A884" s="2" t="n"/>
      <c r="B884" s="2" t="n"/>
      <c r="C884" s="2" t="n"/>
      <c r="D884" s="2" t="n"/>
    </row>
    <row r="885" ht="14.25" customHeight="1" s="46">
      <c r="A885" s="2" t="n"/>
      <c r="B885" s="2" t="n"/>
      <c r="C885" s="2" t="n"/>
      <c r="D885" s="2" t="n"/>
    </row>
    <row r="886" ht="14.25" customHeight="1" s="46">
      <c r="A886" s="2" t="n"/>
      <c r="B886" s="2" t="n"/>
      <c r="C886" s="2" t="n"/>
      <c r="D886" s="2" t="n"/>
    </row>
    <row r="887" ht="14.25" customHeight="1" s="46">
      <c r="A887" s="2" t="n"/>
      <c r="B887" s="2" t="n"/>
      <c r="C887" s="2" t="n"/>
      <c r="D887" s="2" t="n"/>
    </row>
    <row r="888" ht="14.25" customHeight="1" s="46">
      <c r="A888" s="2" t="n"/>
      <c r="B888" s="2" t="n"/>
      <c r="C888" s="2" t="n"/>
      <c r="D888" s="2" t="n"/>
    </row>
    <row r="889" ht="14.25" customHeight="1" s="46">
      <c r="A889" s="2" t="n"/>
      <c r="B889" s="2" t="n"/>
      <c r="C889" s="2" t="n"/>
      <c r="D889" s="2" t="n"/>
    </row>
    <row r="890" ht="14.25" customHeight="1" s="46">
      <c r="A890" s="2" t="n"/>
      <c r="B890" s="2" t="n"/>
      <c r="C890" s="2" t="n"/>
      <c r="D890" s="2" t="n"/>
    </row>
    <row r="891" ht="14.25" customHeight="1" s="46">
      <c r="A891" s="2" t="n"/>
      <c r="B891" s="2" t="n"/>
      <c r="C891" s="2" t="n"/>
      <c r="D891" s="2" t="n"/>
    </row>
    <row r="892" ht="14.25" customHeight="1" s="46">
      <c r="A892" s="2" t="n"/>
      <c r="B892" s="2" t="n"/>
      <c r="C892" s="2" t="n"/>
      <c r="D892" s="2" t="n"/>
    </row>
    <row r="893" ht="14.25" customHeight="1" s="46">
      <c r="A893" s="2" t="n"/>
      <c r="B893" s="2" t="n"/>
      <c r="C893" s="2" t="n"/>
      <c r="D893" s="2" t="n"/>
    </row>
    <row r="894" ht="14.25" customHeight="1" s="46">
      <c r="A894" s="2" t="n"/>
      <c r="B894" s="2" t="n"/>
      <c r="C894" s="2" t="n"/>
      <c r="D894" s="2" t="n"/>
    </row>
    <row r="895" ht="14.25" customHeight="1" s="46">
      <c r="A895" s="2" t="n"/>
      <c r="B895" s="2" t="n"/>
      <c r="C895" s="2" t="n"/>
      <c r="D895" s="2" t="n"/>
    </row>
    <row r="896" ht="14.25" customHeight="1" s="46">
      <c r="A896" s="2" t="n"/>
      <c r="B896" s="2" t="n"/>
      <c r="C896" s="2" t="n"/>
      <c r="D896" s="2" t="n"/>
    </row>
    <row r="897" ht="14.25" customHeight="1" s="46">
      <c r="A897" s="2" t="n"/>
      <c r="B897" s="2" t="n"/>
      <c r="C897" s="2" t="n"/>
      <c r="D897" s="2" t="n"/>
    </row>
    <row r="898" ht="14.25" customHeight="1" s="46">
      <c r="A898" s="2" t="n"/>
      <c r="B898" s="2" t="n"/>
      <c r="C898" s="2" t="n"/>
      <c r="D898" s="2" t="n"/>
    </row>
    <row r="899" ht="14.25" customHeight="1" s="46">
      <c r="A899" s="2" t="n"/>
      <c r="B899" s="2" t="n"/>
      <c r="C899" s="2" t="n"/>
      <c r="D899" s="2" t="n"/>
    </row>
    <row r="900" ht="14.25" customHeight="1" s="46">
      <c r="A900" s="2" t="n"/>
      <c r="B900" s="2" t="n"/>
      <c r="C900" s="2" t="n"/>
      <c r="D900" s="2" t="n"/>
    </row>
    <row r="901" ht="14.25" customHeight="1" s="46">
      <c r="A901" s="2" t="n"/>
      <c r="B901" s="2" t="n"/>
      <c r="C901" s="2" t="n"/>
      <c r="D901" s="2" t="n"/>
    </row>
    <row r="902" ht="14.25" customHeight="1" s="46">
      <c r="A902" s="2" t="n"/>
      <c r="B902" s="2" t="n"/>
      <c r="C902" s="2" t="n"/>
      <c r="D902" s="2" t="n"/>
    </row>
    <row r="903" ht="14.25" customHeight="1" s="46">
      <c r="A903" s="2" t="n"/>
      <c r="B903" s="2" t="n"/>
      <c r="C903" s="2" t="n"/>
      <c r="D903" s="2" t="n"/>
    </row>
    <row r="904" ht="14.25" customHeight="1" s="46">
      <c r="A904" s="2" t="n"/>
      <c r="B904" s="2" t="n"/>
      <c r="C904" s="2" t="n"/>
      <c r="D904" s="2" t="n"/>
    </row>
    <row r="905" ht="14.25" customHeight="1" s="46">
      <c r="A905" s="2" t="n"/>
      <c r="B905" s="2" t="n"/>
      <c r="C905" s="2" t="n"/>
      <c r="D905" s="2" t="n"/>
    </row>
    <row r="906" ht="14.25" customHeight="1" s="46">
      <c r="A906" s="2" t="n"/>
      <c r="B906" s="2" t="n"/>
      <c r="C906" s="2" t="n"/>
      <c r="D906" s="2" t="n"/>
    </row>
    <row r="907" ht="14.25" customHeight="1" s="46">
      <c r="A907" s="2" t="n"/>
      <c r="B907" s="2" t="n"/>
      <c r="C907" s="2" t="n"/>
      <c r="D907" s="2" t="n"/>
    </row>
    <row r="908" ht="14.25" customHeight="1" s="46">
      <c r="A908" s="2" t="n"/>
      <c r="B908" s="2" t="n"/>
      <c r="C908" s="2" t="n"/>
      <c r="D908" s="2" t="n"/>
    </row>
    <row r="909" ht="14.25" customHeight="1" s="46">
      <c r="A909" s="2" t="n"/>
      <c r="B909" s="2" t="n"/>
      <c r="C909" s="2" t="n"/>
      <c r="D909" s="2" t="n"/>
    </row>
    <row r="910" ht="14.25" customHeight="1" s="46">
      <c r="A910" s="2" t="n"/>
      <c r="B910" s="2" t="n"/>
      <c r="C910" s="2" t="n"/>
      <c r="D910" s="2" t="n"/>
    </row>
    <row r="911" ht="14.25" customHeight="1" s="46">
      <c r="A911" s="2" t="n"/>
      <c r="B911" s="2" t="n"/>
      <c r="C911" s="2" t="n"/>
      <c r="D911" s="2" t="n"/>
    </row>
    <row r="912" ht="14.25" customHeight="1" s="46">
      <c r="A912" s="2" t="n"/>
      <c r="B912" s="2" t="n"/>
      <c r="C912" s="2" t="n"/>
      <c r="D912" s="2" t="n"/>
    </row>
    <row r="913" ht="14.25" customHeight="1" s="46">
      <c r="A913" s="2" t="n"/>
      <c r="B913" s="2" t="n"/>
      <c r="C913" s="2" t="n"/>
      <c r="D913" s="2" t="n"/>
    </row>
    <row r="914" ht="14.25" customHeight="1" s="46">
      <c r="A914" s="2" t="n"/>
      <c r="B914" s="2" t="n"/>
      <c r="C914" s="2" t="n"/>
      <c r="D914" s="2" t="n"/>
    </row>
    <row r="915" ht="14.25" customHeight="1" s="46">
      <c r="A915" s="2" t="n"/>
      <c r="B915" s="2" t="n"/>
      <c r="C915" s="2" t="n"/>
      <c r="D915" s="2" t="n"/>
    </row>
    <row r="916" ht="14.25" customHeight="1" s="46">
      <c r="A916" s="2" t="n"/>
      <c r="B916" s="2" t="n"/>
      <c r="C916" s="2" t="n"/>
      <c r="D916" s="2" t="n"/>
    </row>
    <row r="917" ht="14.25" customHeight="1" s="46">
      <c r="A917" s="2" t="n"/>
      <c r="B917" s="2" t="n"/>
      <c r="C917" s="2" t="n"/>
      <c r="D917" s="2" t="n"/>
    </row>
    <row r="918" ht="14.25" customHeight="1" s="46">
      <c r="A918" s="2" t="n"/>
      <c r="B918" s="2" t="n"/>
      <c r="C918" s="2" t="n"/>
      <c r="D918" s="2" t="n"/>
    </row>
    <row r="919" ht="14.25" customHeight="1" s="46">
      <c r="A919" s="2" t="n"/>
      <c r="B919" s="2" t="n"/>
      <c r="C919" s="2" t="n"/>
      <c r="D919" s="2" t="n"/>
    </row>
    <row r="920" ht="14.25" customHeight="1" s="46">
      <c r="A920" s="2" t="n"/>
      <c r="B920" s="2" t="n"/>
      <c r="C920" s="2" t="n"/>
      <c r="D920" s="2" t="n"/>
    </row>
    <row r="921" ht="14.25" customHeight="1" s="46">
      <c r="A921" s="2" t="n"/>
      <c r="B921" s="2" t="n"/>
      <c r="C921" s="2" t="n"/>
      <c r="D921" s="2" t="n"/>
    </row>
    <row r="922" ht="14.25" customHeight="1" s="46">
      <c r="A922" s="2" t="n"/>
      <c r="B922" s="2" t="n"/>
      <c r="C922" s="2" t="n"/>
      <c r="D922" s="2" t="n"/>
    </row>
    <row r="923" ht="14.25" customHeight="1" s="46">
      <c r="A923" s="2" t="n"/>
      <c r="B923" s="2" t="n"/>
      <c r="C923" s="2" t="n"/>
      <c r="D923" s="2" t="n"/>
    </row>
    <row r="924" ht="14.25" customHeight="1" s="46">
      <c r="A924" s="2" t="n"/>
      <c r="B924" s="2" t="n"/>
      <c r="C924" s="2" t="n"/>
      <c r="D924" s="2" t="n"/>
    </row>
    <row r="925" ht="14.25" customHeight="1" s="46">
      <c r="A925" s="2" t="n"/>
      <c r="B925" s="2" t="n"/>
      <c r="C925" s="2" t="n"/>
      <c r="D925" s="2" t="n"/>
    </row>
    <row r="926" ht="14.25" customHeight="1" s="46">
      <c r="A926" s="2" t="n"/>
      <c r="B926" s="2" t="n"/>
      <c r="C926" s="2" t="n"/>
      <c r="D926" s="2" t="n"/>
    </row>
    <row r="927" ht="14.25" customHeight="1" s="46">
      <c r="A927" s="2" t="n"/>
      <c r="B927" s="2" t="n"/>
      <c r="C927" s="2" t="n"/>
      <c r="D927" s="2" t="n"/>
    </row>
    <row r="928" ht="14.25" customHeight="1" s="46">
      <c r="A928" s="2" t="n"/>
      <c r="B928" s="2" t="n"/>
      <c r="C928" s="2" t="n"/>
      <c r="D928" s="2" t="n"/>
    </row>
    <row r="929" ht="14.25" customHeight="1" s="46">
      <c r="A929" s="2" t="n"/>
      <c r="B929" s="2" t="n"/>
      <c r="C929" s="2" t="n"/>
      <c r="D929" s="2" t="n"/>
    </row>
    <row r="930" ht="14.25" customHeight="1" s="46">
      <c r="A930" s="2" t="n"/>
      <c r="B930" s="2" t="n"/>
      <c r="C930" s="2" t="n"/>
      <c r="D930" s="2" t="n"/>
    </row>
    <row r="931" ht="14.25" customHeight="1" s="46">
      <c r="A931" s="2" t="n"/>
      <c r="B931" s="2" t="n"/>
      <c r="C931" s="2" t="n"/>
      <c r="D931" s="2" t="n"/>
    </row>
    <row r="932" ht="14.25" customHeight="1" s="46">
      <c r="A932" s="2" t="n"/>
      <c r="B932" s="2" t="n"/>
      <c r="C932" s="2" t="n"/>
      <c r="D932" s="2" t="n"/>
    </row>
    <row r="933" ht="14.25" customHeight="1" s="46">
      <c r="A933" s="2" t="n"/>
      <c r="B933" s="2" t="n"/>
      <c r="C933" s="2" t="n"/>
      <c r="D933" s="2" t="n"/>
    </row>
    <row r="934" ht="14.25" customHeight="1" s="46">
      <c r="A934" s="2" t="n"/>
      <c r="B934" s="2" t="n"/>
      <c r="C934" s="2" t="n"/>
      <c r="D934" s="2" t="n"/>
    </row>
    <row r="935" ht="14.25" customHeight="1" s="46">
      <c r="A935" s="2" t="n"/>
      <c r="B935" s="2" t="n"/>
      <c r="C935" s="2" t="n"/>
      <c r="D935" s="2" t="n"/>
    </row>
    <row r="936" ht="14.25" customHeight="1" s="46">
      <c r="A936" s="2" t="n"/>
      <c r="B936" s="2" t="n"/>
      <c r="C936" s="2" t="n"/>
      <c r="D936" s="2" t="n"/>
    </row>
    <row r="937" ht="14.25" customHeight="1" s="46">
      <c r="A937" s="2" t="n"/>
      <c r="B937" s="2" t="n"/>
      <c r="C937" s="2" t="n"/>
      <c r="D937" s="2" t="n"/>
    </row>
    <row r="938" ht="14.25" customHeight="1" s="46">
      <c r="A938" s="2" t="n"/>
      <c r="B938" s="2" t="n"/>
      <c r="C938" s="2" t="n"/>
      <c r="D938" s="2" t="n"/>
    </row>
    <row r="939" ht="14.25" customHeight="1" s="46">
      <c r="A939" s="2" t="n"/>
      <c r="B939" s="2" t="n"/>
      <c r="C939" s="2" t="n"/>
      <c r="D939" s="2" t="n"/>
    </row>
    <row r="940" ht="14.25" customHeight="1" s="46">
      <c r="A940" s="2" t="n"/>
      <c r="B940" s="2" t="n"/>
      <c r="C940" s="2" t="n"/>
      <c r="D940" s="2" t="n"/>
    </row>
    <row r="941" ht="14.25" customHeight="1" s="46">
      <c r="A941" s="2" t="n"/>
      <c r="B941" s="2" t="n"/>
      <c r="C941" s="2" t="n"/>
      <c r="D941" s="2" t="n"/>
    </row>
    <row r="942" ht="14.25" customHeight="1" s="46">
      <c r="A942" s="2" t="n"/>
      <c r="B942" s="2" t="n"/>
      <c r="C942" s="2" t="n"/>
      <c r="D942" s="2" t="n"/>
    </row>
    <row r="943" ht="14.25" customHeight="1" s="46">
      <c r="A943" s="2" t="n"/>
      <c r="B943" s="2" t="n"/>
      <c r="C943" s="2" t="n"/>
      <c r="D943" s="2" t="n"/>
    </row>
    <row r="944" ht="14.25" customHeight="1" s="46">
      <c r="A944" s="2" t="n"/>
      <c r="B944" s="2" t="n"/>
      <c r="C944" s="2" t="n"/>
      <c r="D944" s="2" t="n"/>
    </row>
    <row r="945" ht="14.25" customHeight="1" s="46">
      <c r="A945" s="2" t="n"/>
      <c r="B945" s="2" t="n"/>
      <c r="C945" s="2" t="n"/>
      <c r="D945" s="2" t="n"/>
    </row>
    <row r="946" ht="14.25" customHeight="1" s="46">
      <c r="A946" s="2" t="n"/>
      <c r="B946" s="2" t="n"/>
      <c r="C946" s="2" t="n"/>
      <c r="D946" s="2" t="n"/>
    </row>
    <row r="947" ht="14.25" customHeight="1" s="46">
      <c r="A947" s="2" t="n"/>
      <c r="B947" s="2" t="n"/>
      <c r="C947" s="2" t="n"/>
      <c r="D947" s="2" t="n"/>
    </row>
    <row r="948" ht="14.25" customHeight="1" s="46">
      <c r="A948" s="2" t="n"/>
      <c r="B948" s="2" t="n"/>
      <c r="C948" s="2" t="n"/>
      <c r="D948" s="2" t="n"/>
    </row>
    <row r="949" ht="14.25" customHeight="1" s="46">
      <c r="A949" s="2" t="n"/>
      <c r="B949" s="2" t="n"/>
      <c r="C949" s="2" t="n"/>
      <c r="D949" s="2" t="n"/>
    </row>
    <row r="950" ht="14.25" customHeight="1" s="46">
      <c r="A950" s="2" t="n"/>
      <c r="B950" s="2" t="n"/>
      <c r="C950" s="2" t="n"/>
      <c r="D950" s="2" t="n"/>
    </row>
    <row r="951" ht="14.25" customHeight="1" s="46">
      <c r="A951" s="2" t="n"/>
      <c r="B951" s="2" t="n"/>
      <c r="C951" s="2" t="n"/>
      <c r="D951" s="2" t="n"/>
    </row>
    <row r="952" ht="14.25" customHeight="1" s="46">
      <c r="A952" s="2" t="n"/>
      <c r="B952" s="2" t="n"/>
      <c r="C952" s="2" t="n"/>
      <c r="D952" s="2" t="n"/>
    </row>
    <row r="953" ht="14.25" customHeight="1" s="46">
      <c r="A953" s="2" t="n"/>
      <c r="B953" s="2" t="n"/>
      <c r="C953" s="2" t="n"/>
      <c r="D953" s="2" t="n"/>
    </row>
    <row r="954" ht="14.25" customHeight="1" s="46">
      <c r="A954" s="2" t="n"/>
      <c r="B954" s="2" t="n"/>
      <c r="C954" s="2" t="n"/>
      <c r="D954" s="2" t="n"/>
    </row>
    <row r="955" ht="14.25" customHeight="1" s="46">
      <c r="A955" s="2" t="n"/>
      <c r="B955" s="2" t="n"/>
      <c r="C955" s="2" t="n"/>
      <c r="D955" s="2" t="n"/>
    </row>
    <row r="956" ht="14.25" customHeight="1" s="46">
      <c r="A956" s="2" t="n"/>
      <c r="B956" s="2" t="n"/>
      <c r="C956" s="2" t="n"/>
      <c r="D956" s="2" t="n"/>
    </row>
    <row r="957" ht="14.25" customHeight="1" s="46">
      <c r="A957" s="2" t="n"/>
      <c r="B957" s="2" t="n"/>
      <c r="C957" s="2" t="n"/>
      <c r="D957" s="2" t="n"/>
    </row>
    <row r="958" ht="14.25" customHeight="1" s="46">
      <c r="A958" s="2" t="n"/>
      <c r="B958" s="2" t="n"/>
      <c r="C958" s="2" t="n"/>
      <c r="D958" s="2" t="n"/>
    </row>
    <row r="959" ht="14.25" customHeight="1" s="46">
      <c r="A959" s="2" t="n"/>
      <c r="B959" s="2" t="n"/>
      <c r="C959" s="2" t="n"/>
      <c r="D959" s="2" t="n"/>
    </row>
    <row r="960" ht="14.25" customHeight="1" s="46">
      <c r="A960" s="2" t="n"/>
      <c r="B960" s="2" t="n"/>
      <c r="C960" s="2" t="n"/>
      <c r="D960" s="2" t="n"/>
    </row>
    <row r="961" ht="14.25" customHeight="1" s="46">
      <c r="A961" s="2" t="n"/>
      <c r="B961" s="2" t="n"/>
      <c r="C961" s="2" t="n"/>
      <c r="D961" s="2" t="n"/>
    </row>
    <row r="962" ht="14.25" customHeight="1" s="46">
      <c r="A962" s="2" t="n"/>
      <c r="B962" s="2" t="n"/>
      <c r="C962" s="2" t="n"/>
      <c r="D962" s="2" t="n"/>
    </row>
    <row r="963" ht="14.25" customHeight="1" s="46">
      <c r="A963" s="2" t="n"/>
      <c r="B963" s="2" t="n"/>
      <c r="C963" s="2" t="n"/>
      <c r="D963" s="2" t="n"/>
    </row>
    <row r="964" ht="14.25" customHeight="1" s="46">
      <c r="A964" s="2" t="n"/>
      <c r="B964" s="2" t="n"/>
      <c r="C964" s="2" t="n"/>
      <c r="D964" s="2" t="n"/>
    </row>
    <row r="965" ht="14.25" customHeight="1" s="46">
      <c r="A965" s="2" t="n"/>
      <c r="B965" s="2" t="n"/>
      <c r="C965" s="2" t="n"/>
      <c r="D965" s="2" t="n"/>
    </row>
    <row r="966" ht="14.25" customHeight="1" s="46">
      <c r="A966" s="2" t="n"/>
      <c r="B966" s="2" t="n"/>
      <c r="C966" s="2" t="n"/>
      <c r="D966" s="2" t="n"/>
    </row>
    <row r="967" ht="14.25" customHeight="1" s="46">
      <c r="A967" s="2" t="n"/>
      <c r="B967" s="2" t="n"/>
      <c r="C967" s="2" t="n"/>
      <c r="D967" s="2" t="n"/>
    </row>
    <row r="968" ht="14.25" customHeight="1" s="46">
      <c r="A968" s="2" t="n"/>
      <c r="B968" s="2" t="n"/>
      <c r="C968" s="2" t="n"/>
      <c r="D968" s="2" t="n"/>
    </row>
    <row r="969" ht="14.25" customHeight="1" s="46">
      <c r="A969" s="2" t="n"/>
      <c r="B969" s="2" t="n"/>
      <c r="C969" s="2" t="n"/>
      <c r="D969" s="2" t="n"/>
    </row>
    <row r="970" ht="14.25" customHeight="1" s="46">
      <c r="A970" s="2" t="n"/>
      <c r="B970" s="2" t="n"/>
      <c r="C970" s="2" t="n"/>
      <c r="D970" s="2" t="n"/>
    </row>
    <row r="971" ht="14.25" customHeight="1" s="46">
      <c r="A971" s="2" t="n"/>
      <c r="B971" s="2" t="n"/>
      <c r="C971" s="2" t="n"/>
      <c r="D971" s="2" t="n"/>
    </row>
    <row r="972" ht="14.25" customHeight="1" s="46">
      <c r="A972" s="2" t="n"/>
      <c r="B972" s="2" t="n"/>
      <c r="C972" s="2" t="n"/>
      <c r="D972" s="2" t="n"/>
    </row>
    <row r="973" ht="14.25" customHeight="1" s="46">
      <c r="A973" s="2" t="n"/>
      <c r="B973" s="2" t="n"/>
      <c r="C973" s="2" t="n"/>
      <c r="D973" s="2" t="n"/>
    </row>
    <row r="974" ht="14.25" customHeight="1" s="46">
      <c r="A974" s="2" t="n"/>
      <c r="B974" s="2" t="n"/>
      <c r="C974" s="2" t="n"/>
      <c r="D974" s="2" t="n"/>
    </row>
    <row r="975" ht="14.25" customHeight="1" s="46">
      <c r="A975" s="2" t="n"/>
      <c r="B975" s="2" t="n"/>
      <c r="C975" s="2" t="n"/>
      <c r="D975" s="2" t="n"/>
    </row>
    <row r="976" ht="14.25" customHeight="1" s="46">
      <c r="A976" s="2" t="n"/>
      <c r="B976" s="2" t="n"/>
      <c r="C976" s="2" t="n"/>
      <c r="D976" s="2" t="n"/>
    </row>
    <row r="977" ht="14.25" customHeight="1" s="46">
      <c r="A977" s="2" t="n"/>
      <c r="B977" s="2" t="n"/>
      <c r="C977" s="2" t="n"/>
      <c r="D977" s="2" t="n"/>
    </row>
    <row r="978" ht="14.25" customHeight="1" s="46">
      <c r="A978" s="2" t="n"/>
      <c r="B978" s="2" t="n"/>
      <c r="C978" s="2" t="n"/>
      <c r="D978" s="2" t="n"/>
    </row>
    <row r="979" ht="14.25" customHeight="1" s="46">
      <c r="A979" s="2" t="n"/>
      <c r="B979" s="2" t="n"/>
      <c r="C979" s="2" t="n"/>
      <c r="D979" s="2" t="n"/>
    </row>
    <row r="980" ht="14.25" customHeight="1" s="46">
      <c r="A980" s="2" t="n"/>
      <c r="B980" s="2" t="n"/>
      <c r="C980" s="2" t="n"/>
      <c r="D980" s="2" t="n"/>
    </row>
    <row r="981" ht="14.25" customHeight="1" s="46">
      <c r="A981" s="2" t="n"/>
      <c r="B981" s="2" t="n"/>
      <c r="C981" s="2" t="n"/>
      <c r="D981" s="2" t="n"/>
    </row>
    <row r="982" ht="14.25" customHeight="1" s="46">
      <c r="A982" s="2" t="n"/>
      <c r="B982" s="2" t="n"/>
      <c r="C982" s="2" t="n"/>
      <c r="D982" s="2" t="n"/>
    </row>
    <row r="983" ht="14.25" customHeight="1" s="46">
      <c r="A983" s="2" t="n"/>
      <c r="B983" s="2" t="n"/>
      <c r="C983" s="2" t="n"/>
      <c r="D983" s="2" t="n"/>
    </row>
    <row r="984" ht="14.25" customHeight="1" s="46">
      <c r="A984" s="2" t="n"/>
      <c r="B984" s="2" t="n"/>
      <c r="C984" s="2" t="n"/>
      <c r="D984" s="2" t="n"/>
    </row>
    <row r="985" ht="14.25" customHeight="1" s="46">
      <c r="A985" s="2" t="n"/>
      <c r="B985" s="2" t="n"/>
      <c r="C985" s="2" t="n"/>
      <c r="D985" s="2" t="n"/>
    </row>
    <row r="986" ht="14.25" customHeight="1" s="46">
      <c r="A986" s="2" t="n"/>
      <c r="B986" s="2" t="n"/>
      <c r="C986" s="2" t="n"/>
      <c r="D986" s="2" t="n"/>
    </row>
    <row r="987" ht="14.25" customHeight="1" s="46">
      <c r="A987" s="2" t="n"/>
      <c r="B987" s="2" t="n"/>
      <c r="C987" s="2" t="n"/>
      <c r="D987" s="2" t="n"/>
    </row>
    <row r="988" ht="14.25" customHeight="1" s="46">
      <c r="A988" s="2" t="n"/>
      <c r="B988" s="2" t="n"/>
      <c r="C988" s="2" t="n"/>
      <c r="D988" s="2" t="n"/>
    </row>
    <row r="989" ht="14.25" customHeight="1" s="46">
      <c r="A989" s="2" t="n"/>
      <c r="B989" s="2" t="n"/>
      <c r="C989" s="2" t="n"/>
      <c r="D989" s="2" t="n"/>
    </row>
    <row r="990" ht="14.25" customHeight="1" s="46">
      <c r="A990" s="2" t="n"/>
      <c r="B990" s="2" t="n"/>
      <c r="C990" s="2" t="n"/>
      <c r="D990" s="2" t="n"/>
    </row>
    <row r="991" ht="14.25" customHeight="1" s="46">
      <c r="A991" s="2" t="n"/>
      <c r="B991" s="2" t="n"/>
      <c r="C991" s="2" t="n"/>
      <c r="D991" s="2" t="n"/>
    </row>
    <row r="992" ht="14.25" customHeight="1" s="46">
      <c r="A992" s="2" t="n"/>
      <c r="B992" s="2" t="n"/>
      <c r="C992" s="2" t="n"/>
      <c r="D992" s="2" t="n"/>
    </row>
    <row r="993" ht="14.25" customHeight="1" s="46">
      <c r="A993" s="2" t="n"/>
      <c r="B993" s="2" t="n"/>
      <c r="C993" s="2" t="n"/>
      <c r="D993" s="2" t="n"/>
    </row>
    <row r="994" ht="14.25" customHeight="1" s="46">
      <c r="A994" s="2" t="n"/>
      <c r="B994" s="2" t="n"/>
      <c r="C994" s="2" t="n"/>
      <c r="D994" s="2" t="n"/>
    </row>
    <row r="995" ht="14.25" customHeight="1" s="46">
      <c r="A995" s="2" t="n"/>
      <c r="B995" s="2" t="n"/>
      <c r="C995" s="2" t="n"/>
      <c r="D995" s="2" t="n"/>
    </row>
    <row r="996" ht="14.25" customHeight="1" s="46">
      <c r="A996" s="2" t="n"/>
      <c r="B996" s="2" t="n"/>
      <c r="C996" s="2" t="n"/>
      <c r="D996" s="2" t="n"/>
    </row>
    <row r="997" ht="14.25" customHeight="1" s="46">
      <c r="A997" s="2" t="n"/>
      <c r="B997" s="2" t="n"/>
      <c r="C997" s="2" t="n"/>
      <c r="D997" s="2" t="n"/>
    </row>
    <row r="998" ht="14.25" customHeight="1" s="46">
      <c r="A998" s="2" t="n"/>
      <c r="B998" s="2" t="n"/>
      <c r="C998" s="2" t="n"/>
      <c r="D998" s="2" t="n"/>
    </row>
    <row r="999" ht="14.25" customHeight="1" s="46">
      <c r="A999" s="2" t="n"/>
      <c r="B999" s="2" t="n"/>
      <c r="C999" s="2" t="n"/>
      <c r="D999" s="2" t="n"/>
    </row>
    <row r="1000" ht="14.25" customHeight="1" s="46">
      <c r="A1000" s="2" t="n"/>
      <c r="B1000" s="2" t="n"/>
      <c r="C1000" s="2" t="n"/>
      <c r="D1000" s="2" t="n"/>
    </row>
    <row r="1001" ht="15.75" customHeight="1" s="46"/>
    <row r="1002" ht="15.75" customHeight="1" s="46">
      <c r="A1002" s="4" t="inlineStr">
        <is>
          <t>Step 5</t>
        </is>
      </c>
    </row>
    <row r="1003" ht="15" customHeight="1" s="46">
      <c r="B1003" s="8" t="inlineStr">
        <is>
          <t>Palace</t>
        </is>
      </c>
      <c r="C1003" s="5" t="inlineStr">
        <is>
          <t>The fourth manor level is a Palace (Borough).</t>
        </is>
      </c>
    </row>
    <row r="1004" ht="30" customHeight="1" s="46">
      <c r="B1004" s="8" t="inlineStr">
        <is>
          <t>Atelier</t>
        </is>
      </c>
      <c r="C1004" s="5" t="inlineStr">
        <is>
          <t>The Patrons' Atelier replaces the dovecote and makes the works of art by chance; the old commissions are gone.</t>
        </is>
      </c>
    </row>
    <row r="1005" ht="30" customHeight="1" s="46">
      <c r="B1005" s="8" t="inlineStr">
        <is>
          <t>Barracks</t>
        </is>
      </c>
      <c r="C1005" s="5" t="inlineStr">
        <is>
          <t>Replaces the gatehouse; raises the retinue and helps the courthouse.</t>
        </is>
      </c>
    </row>
    <row r="1006" ht="15" customHeight="1" s="46">
      <c r="B1006" s="8" t="inlineStr">
        <is>
          <t>Titles</t>
        </is>
      </c>
      <c r="C1006" s="5" t="inlineStr">
        <is>
          <t>Baron, Earl, Marquess, Duke: bought with prestige.</t>
        </is>
      </c>
    </row>
    <row r="1007" ht="30" customHeight="1" s="46">
      <c r="B1007" s="8" t="inlineStr">
        <is>
          <t>Great Works</t>
        </is>
      </c>
      <c r="C1007" s="5" t="inlineStr">
        <is>
          <t>Bell tower: all work 2% faster. Cathedral 3 prestige; university 8 knowledge. New: the Royal Road.</t>
        </is>
      </c>
    </row>
    <row r="1008" ht="45" customHeight="1" s="46">
      <c r="B1008" s="8" t="inlineStr">
        <is>
          <t>Step 4 leftovers</t>
        </is>
      </c>
      <c r="C1008" s="5" t="inlineStr">
        <is>
          <t>Pears to step 4, strawberries a new good, Frisian and Highland cattle, the trade upgrades stack in two steps, huge ships per year, banners kept.</t>
        </is>
      </c>
    </row>
    <row r="1009" ht="45" customHeight="1" s="46">
      <c r="B1009" s="8" t="inlineStr">
        <is>
          <t>Late knowledge</t>
        </is>
      </c>
      <c r="C1009" s="5" t="inlineStr">
        <is>
          <t>Inflate the late, non-essential prices by a lot (lever in 4 Depth, now x4); a player should need many years to learn everything.</t>
        </is>
      </c>
    </row>
    <row r="1010" ht="15.75" customHeight="1" s="46"/>
    <row r="1011" ht="15.75" customHeight="1" s="46">
      <c r="A1011" s="4" t="inlineStr">
        <is>
          <t>Step 6</t>
        </is>
      </c>
    </row>
    <row r="1012" ht="45" customHeight="1" s="46">
      <c r="B1012" s="8" t="inlineStr">
        <is>
          <t>Paths</t>
        </is>
      </c>
      <c r="C1012" s="5" t="inlineStr">
        <is>
          <t>Eight paths: Artisans' Guilds added; Ironmongers replace Armourers; Heavy Plough empowers the iron plough. Every path keeps a drawback; choices are never re-picked.</t>
        </is>
      </c>
    </row>
    <row r="1013" ht="60" customHeight="1" s="46">
      <c r="B1013" s="8" t="inlineStr">
        <is>
          <t>Your edits</t>
        </is>
      </c>
      <c r="C1013" s="5" t="inlineStr">
        <is>
          <t>Deep Veins reveals 2-4 silver veins (Silver Mine); trade prices from guilds 1.25-1.5 rather than double; Woodland Lore half again; Druids let homes level with one need unmet; Royal Hunt adds two deer herds.</t>
        </is>
      </c>
    </row>
    <row r="1014" ht="45" customHeight="1" s="46">
      <c r="B1014" s="8" t="inlineStr">
        <is>
          <t>Prices</t>
        </is>
      </c>
      <c r="C1014" s="5" t="inlineStr">
        <is>
          <t>Rise exponentially so a regular player completes about two full paths (6 charters); see 6 Charter costs. Rechecked in step 8.</t>
        </is>
      </c>
    </row>
    <row r="1016">
      <c r="A1016" s="47" t="inlineStr">
        <is>
          <t>Step 7</t>
        </is>
      </c>
    </row>
    <row r="1017">
      <c r="B1017" s="48" t="inlineStr">
        <is>
          <t>Learning panel</t>
        </is>
      </c>
      <c r="C1017" s="49" t="inlineStr">
        <is>
          <t>A wooden board of scout patches per craft, related patches grouped (no columns). Civic, learning, trade and roads share a tab; thin tabs may merge. Nothing hidden: locked until learnable. No suggested strip: Fingamoboblius explains. Old saves kept if easy.</t>
        </is>
      </c>
    </row>
    <row r="1018">
      <c r="B1018" s="48" t="inlineStr">
        <is>
          <t>Late knowledge</t>
        </is>
      </c>
      <c r="C1018" s="49" t="inlineStr">
        <is>
          <t>No City projects. Knowledge gain and prices rebalanced so a player completes every unlock a few years after reaching City (your first idea: gains divided by 8 plus small grants on reaching ranks); I tune it against bot playthroughs, keeping each home level's essentials affordable in time (G9).</t>
        </is>
      </c>
    </row>
    <row r="1019">
      <c r="B1019" s="48" t="inlineStr">
        <is>
          <t>Silver, deer</t>
        </is>
      </c>
      <c r="C1019" s="49" t="inlineStr">
        <is>
          <t>Silver veins from Deep Veins only. Deer herds are simply more game for hunters.</t>
        </is>
      </c>
    </row>
    <row r="1020">
      <c r="B1020" s="48" t="inlineStr">
        <is>
          <t>Build</t>
        </is>
      </c>
      <c r="C1020" s="49" t="inlineStr">
        <is>
          <t>Go ahead: build, balance, test, design everything new on a branch; merge to main when happy. Then review drawings, remake the tutorial, and add a small symbol on every panel that calls Fingamoboblius to explain it.</t>
        </is>
      </c>
    </row>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G228"/>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46" min="1" max="1"/>
    <col width="14" customWidth="1" style="46" min="2" max="2"/>
    <col width="60" customWidth="1" style="46" min="3" max="3"/>
    <col width="48" customWidth="1" style="46" min="4" max="4"/>
    <col width="12" customWidth="1" style="46" min="5" max="5"/>
    <col width="36" customWidth="1" style="46" min="6" max="6"/>
    <col width="16" customWidth="1" style="46" min="7" max="7"/>
  </cols>
  <sheetData>
    <row r="1" ht="4.5" customHeight="1" s="46">
      <c r="A1" s="1" t="inlineStr">
        <is>
          <t>Step 0: ground rules</t>
        </is>
      </c>
      <c r="B1" s="2" t="n"/>
      <c r="C1" s="2" t="n"/>
      <c r="D1" s="2" t="n"/>
      <c r="E1" s="2" t="n"/>
      <c r="F1" s="2" t="n"/>
      <c r="G1" s="2" t="n"/>
    </row>
    <row r="2" ht="14.25" customHeight="1" s="46">
      <c r="A2" s="3" t="inlineStr">
        <is>
          <t>Every later step is checked against these. Mark each one Agree / Change / Drop in the yellow column.</t>
        </is>
      </c>
      <c r="B2" s="2" t="n"/>
      <c r="C2" s="2" t="n"/>
      <c r="D2" s="2" t="n"/>
      <c r="E2" s="2" t="n"/>
      <c r="F2" s="2" t="n"/>
      <c r="G2" s="2" t="n"/>
    </row>
    <row r="3" ht="14.25" customHeight="1" s="46">
      <c r="A3" s="2" t="n"/>
      <c r="B3" s="2" t="n"/>
      <c r="C3" s="2" t="n"/>
      <c r="D3" s="2" t="n"/>
      <c r="E3" s="2" t="n"/>
      <c r="F3" s="2" t="n"/>
      <c r="G3" s="2" t="n"/>
    </row>
    <row r="4" ht="14.25" customHeight="1" s="46">
      <c r="A4" s="9" t="inlineStr">
        <is>
          <t>ID</t>
        </is>
      </c>
      <c r="B4" s="9" t="inlineStr">
        <is>
          <t>Area</t>
        </is>
      </c>
      <c r="C4" s="9" t="inlineStr">
        <is>
          <t>Rule</t>
        </is>
      </c>
      <c r="D4" s="9" t="inlineStr">
        <is>
          <t>Why</t>
        </is>
      </c>
      <c r="E4" s="9" t="inlineStr">
        <is>
          <t>Your call</t>
        </is>
      </c>
      <c r="F4" s="9" t="inlineStr">
        <is>
          <t>Your notes</t>
        </is>
      </c>
      <c r="G4" s="9" t="inlineStr">
        <is>
          <t>Status</t>
        </is>
      </c>
    </row>
    <row r="5" ht="25.5" customHeight="1" s="46">
      <c r="A5" s="10" t="inlineStr">
        <is>
          <t>Currencies</t>
        </is>
      </c>
      <c r="B5" s="10" t="n"/>
      <c r="C5" s="10" t="n"/>
      <c r="D5" s="10" t="n"/>
      <c r="E5" s="10" t="n"/>
      <c r="F5" s="10" t="n"/>
      <c r="G5" s="2" t="n"/>
    </row>
    <row r="6" ht="51.75" customHeight="1" s="46">
      <c r="A6" s="7" t="inlineStr">
        <is>
          <t>G1</t>
        </is>
      </c>
      <c r="B6" s="7" t="inlineStr">
        <is>
          <t>Town rank</t>
        </is>
      </c>
      <c r="C6" s="7" t="inlineStr">
        <is>
          <t>Town rank decides how big the town may grow: house levels, manor levels, Great Works and decorations. A few gateway buildings unlock by rank alone (Farmstead: Hamlet; Clay Pit and Bloomery: Village; Sand Pit: Town).</t>
        </is>
      </c>
      <c r="D6" s="7" t="inlineStr">
        <is>
          <t>Rank already drives houses and the manor; keeping it to "size" stops it competing with knowledge.</t>
        </is>
      </c>
      <c r="E6" s="45" t="inlineStr">
        <is>
          <t>Change</t>
        </is>
      </c>
      <c r="F6" s="45" t="inlineStr">
        <is>
          <t>Basic industries buildings will be unlocked by rank alone</t>
        </is>
      </c>
      <c r="G6" s="13" t="inlineStr">
        <is>
          <t>Revised to your note</t>
        </is>
      </c>
    </row>
    <row r="7" ht="51.75" customHeight="1" s="46">
      <c r="A7" s="7" t="inlineStr">
        <is>
          <t>G2</t>
        </is>
      </c>
      <c r="B7" s="7" t="inlineStr">
        <is>
          <t>Knowledge</t>
        </is>
      </c>
      <c r="C7" s="7" t="inlineStr">
        <is>
          <t>Knowledge decides what your people know how to build: every building outside the starting set, extra recipes, crops, animals, workplace extensions and upgrades. It is spent, like prestige.</t>
        </is>
      </c>
      <c r="D7" s="7" t="inlineStr">
        <is>
          <t>Spending makes each unlock a choice; a threshold would just open everything in order.</t>
        </is>
      </c>
      <c r="E7" s="45" t="inlineStr">
        <is>
          <t>Agree</t>
        </is>
      </c>
      <c r="F7" s="45" t="n"/>
      <c r="G7" s="7" t="inlineStr">
        <is>
          <t>As agreed</t>
        </is>
      </c>
    </row>
    <row r="8" ht="39" customHeight="1" s="46">
      <c r="A8" s="7" t="inlineStr">
        <is>
          <t>G3</t>
        </is>
      </c>
      <c r="B8" s="7" t="inlineStr">
        <is>
          <t>Prestige</t>
        </is>
      </c>
      <c r="C8" s="7" t="inlineStr">
        <is>
          <t>Prestige is the lord's: charters, titles, feasts and fairs, works of art, the retinue. It never unlocks ordinary industry.</t>
        </is>
      </c>
      <c r="D8" s="7" t="inlineStr">
        <is>
          <t>Players always know which currency they need.</t>
        </is>
      </c>
      <c r="E8" s="45" t="inlineStr">
        <is>
          <t>Agree</t>
        </is>
      </c>
      <c r="F8" s="45" t="n"/>
      <c r="G8" s="7" t="inlineStr">
        <is>
          <t>As agreed</t>
        </is>
      </c>
    </row>
    <row r="9" ht="51.75" customHeight="1" s="46">
      <c r="A9" s="7" t="inlineStr">
        <is>
          <t>G4</t>
        </is>
      </c>
      <c r="B9" s="7" t="inlineStr">
        <is>
          <t>Charters</t>
        </is>
      </c>
      <c r="C9" s="7" t="inlineStr">
        <is>
          <t>Charters are the town's specialisation: exclusive choices, guild buildings and strong bonuses. A charter building may offer another way to meet a need, but never the only way.</t>
        </is>
      </c>
      <c r="D9" s="7" t="inlineStr">
        <is>
          <t>No town is locked out of a house level by the path it chose.</t>
        </is>
      </c>
      <c r="E9" s="45" t="inlineStr">
        <is>
          <t>Agree</t>
        </is>
      </c>
      <c r="F9" s="45" t="n"/>
      <c r="G9" s="7" t="inlineStr">
        <is>
          <t>As agreed</t>
        </is>
      </c>
    </row>
    <row r="10" ht="25.5" customHeight="1" s="46">
      <c r="A10" s="7" t="inlineStr">
        <is>
          <t>G5</t>
        </is>
      </c>
      <c r="B10" s="7" t="inlineStr">
        <is>
          <t>Coins</t>
        </is>
      </c>
      <c r="C10" s="7" t="inlineStr">
        <is>
          <t>Coins run the economy and are never a gate. Taxes are collected only once there is a manor; the manor taxes up to the first 45 villagers (a Town's worth), and beyond that tax offices must be built (step 2).</t>
        </is>
      </c>
      <c r="D10" s="7" t="n"/>
      <c r="E10" s="45" t="inlineStr">
        <is>
          <t>Change</t>
        </is>
      </c>
      <c r="F10" s="45" t="inlineStr">
        <is>
          <t>Let's add taxation system. Taxas can only be collected once a manor is built, the mannor can collect taxes from up to the population necessary to reach town, then tax offices must be built</t>
        </is>
      </c>
      <c r="G10" s="13" t="inlineStr">
        <is>
          <t>Revised to your note</t>
        </is>
      </c>
    </row>
    <row r="11" ht="14.25" customHeight="1" s="46">
      <c r="A11" s="10" t="inlineStr">
        <is>
          <t>Gates</t>
        </is>
      </c>
      <c r="B11" s="10" t="n"/>
      <c r="C11" s="10" t="n"/>
      <c r="D11" s="10" t="n"/>
      <c r="E11" s="10" t="n"/>
      <c r="F11" s="10" t="n"/>
      <c r="G11" s="2" t="n"/>
    </row>
    <row r="12" ht="25.5" customHeight="1" s="46">
      <c r="A12" s="7" t="inlineStr">
        <is>
          <t>G6</t>
        </is>
      </c>
      <c r="B12" s="7" t="inlineStr">
        <is>
          <t>Shape</t>
        </is>
      </c>
      <c r="C12" s="7" t="inlineStr">
        <is>
          <t>Every unlock has either a rank or a knowledge cost, never both. Knowledge unlocks have no rank floor: their price is what makes them feasible or not.</t>
        </is>
      </c>
      <c r="D12" s="7" t="inlineStr">
        <is>
          <t>One readable line per unlock: "Town · 8 knowledge · after 40 ore".</t>
        </is>
      </c>
      <c r="E12" s="45" t="inlineStr">
        <is>
          <t>Change</t>
        </is>
      </c>
      <c r="F12" s="45" t="inlineStr">
        <is>
          <t>Let's not use rank for knowledge unlocks, the knowloedge price will somewhat define what is feasible for unlocking.</t>
        </is>
      </c>
      <c r="G12" s="13" t="inlineStr">
        <is>
          <t>Revised to your note</t>
        </is>
      </c>
    </row>
    <row r="13" ht="64.5" customHeight="1" s="46">
      <c r="A13" s="7" t="inlineStr">
        <is>
          <t>G7</t>
        </is>
      </c>
      <c r="B13" s="7" t="inlineStr">
        <is>
          <t>Conditions</t>
        </is>
      </c>
      <c r="C13" s="7" t="inlineStr">
        <is>
          <t>Conditions (learning by doing) are only for choices, extensions, some decorations and special buildings, never for production buildings. Exception: the Cooper waits for a trading post, dock or winery, since crates are useless without trade.</t>
        </is>
      </c>
      <c r="D13" s="7" t="inlineStr">
        <is>
          <t>Gives the "you learn by doing" feel without a second experience currency.</t>
        </is>
      </c>
      <c r="E13" s="45" t="inlineStr">
        <is>
          <t>Change</t>
        </is>
      </c>
      <c r="F13" s="45" t="inlineStr">
        <is>
          <t>We will drop conditions like this from all production buildings and leave only for choices, extensions and later some decorations and special buildings</t>
        </is>
      </c>
      <c r="G13" s="13" t="inlineStr">
        <is>
          <t>Revised to your note</t>
        </is>
      </c>
    </row>
    <row r="14" ht="39" customHeight="1" s="46">
      <c r="A14" s="7" t="inlineStr">
        <is>
          <t>G8</t>
        </is>
      </c>
      <c r="B14" s="7" t="inlineStr">
        <is>
          <t>Cost bands</t>
        </is>
      </c>
      <c r="C14" s="7" t="inlineStr">
        <is>
          <t>Knowledge prices: the basic building that reaches the end of a production line is cheap; extensions, choices and more efficient buildings cost in proportion to their bonus.</t>
        </is>
      </c>
      <c r="D14" s="7" t="inlineStr">
        <is>
          <t>Basic industry should not be hard to unlock; knowledge becomes the real constraint from Town on.</t>
        </is>
      </c>
      <c r="E14" s="45" t="inlineStr">
        <is>
          <t>Change</t>
        </is>
      </c>
      <c r="F14" s="45" t="inlineStr">
        <is>
          <t>I agree with the why. Basic building to get to the end of production line will be cheap, extensions, choices and more efficient buildings are more expensive proportionally to the bonus</t>
        </is>
      </c>
      <c r="G14" s="13" t="inlineStr">
        <is>
          <t>Revised to your note</t>
        </is>
      </c>
    </row>
    <row r="15" ht="51.75" customHeight="1" s="46">
      <c r="A15" s="7" t="inlineStr">
        <is>
          <t>G9</t>
        </is>
      </c>
      <c r="B15" s="7" t="inlineStr">
        <is>
          <t>Budgets</t>
        </is>
      </c>
      <c r="C15" s="7" t="inlineStr">
        <is>
          <t>What the next house level needs must fit inside a stage's basic budget with room to spare. Optional lines may add up to more than the budget, so the player chooses what to learn first.</t>
        </is>
      </c>
      <c r="D15" s="7" t="inlineStr">
        <is>
          <t>Nobody stalls on a house level; there is still a choice.</t>
        </is>
      </c>
      <c r="E15" s="45" t="inlineStr">
        <is>
          <t>Agree</t>
        </is>
      </c>
      <c r="F15" s="45" t="n"/>
      <c r="G15" s="7" t="inlineStr">
        <is>
          <t>As agreed</t>
        </is>
      </c>
    </row>
    <row r="16" ht="51.75" customHeight="1" s="46">
      <c r="A16" s="7" t="inlineStr">
        <is>
          <t>G10</t>
        </is>
      </c>
      <c r="B16" s="7" t="inlineStr">
        <is>
          <t>Starting set</t>
        </is>
      </c>
      <c r="C16" s="7" t="inlineStr">
        <is>
          <t>Free from the start: Cottage, Woodcutter (timber and firewood), Sawmill, Quarry, Forager (berries), Hunter, Fisher, Storehouse, Granary, Well, Market, and the vegetable patch and hen coop in backyards. Mushrooms stop being a good (they stay on the map).</t>
        </is>
      </c>
      <c r="D16" s="7" t="inlineStr">
        <is>
          <t>Enough to survive the first winter; everything else is learned.</t>
        </is>
      </c>
      <c r="E16" s="45" t="inlineStr">
        <is>
          <t>Change</t>
        </is>
      </c>
      <c r="F16" s="45" t="inlineStr">
        <is>
          <t>Maybe not fit here, but since we will already have lot's of good types, we don't need mushrooms anymore and they were hard to spot anyway. Let's keep the visual mushrooms but they don't count towards food distribution rules nor are good anymore</t>
        </is>
      </c>
      <c r="G16" s="13" t="inlineStr">
        <is>
          <t>Revised to your note</t>
        </is>
      </c>
    </row>
    <row r="17" ht="25.5" customHeight="1" s="46">
      <c r="A17" s="7" t="inlineStr">
        <is>
          <t>G11</t>
        </is>
      </c>
      <c r="B17" s="7" t="inlineStr">
        <is>
          <t>Data</t>
        </is>
      </c>
      <c r="C17" s="7" t="inlineStr">
        <is>
          <t>Every gate lives in one table (this workbook's 1 Basic lines, later more) that the game reads.</t>
        </is>
      </c>
      <c r="D17" s="7" t="inlineStr">
        <is>
          <t>You can rebalance in the sheet.</t>
        </is>
      </c>
      <c r="E17" s="45" t="inlineStr">
        <is>
          <t>Agree</t>
        </is>
      </c>
      <c r="F17" s="45" t="n"/>
      <c r="G17" s="7" t="inlineStr">
        <is>
          <t>As agreed</t>
        </is>
      </c>
    </row>
    <row r="18" ht="51.75" customHeight="1" s="46">
      <c r="A18" s="10" t="inlineStr">
        <is>
          <t>Goods and buildings</t>
        </is>
      </c>
      <c r="B18" s="10" t="n"/>
      <c r="C18" s="10" t="n"/>
      <c r="D18" s="10" t="n"/>
      <c r="E18" s="10" t="n"/>
      <c r="F18" s="10" t="n"/>
      <c r="G18" s="2" t="n"/>
    </row>
    <row r="19" ht="14.25" customHeight="1" s="46">
      <c r="A19" s="7" t="inlineStr">
        <is>
          <t>G12</t>
        </is>
      </c>
      <c r="B19" s="7" t="inlineStr">
        <is>
          <t>Build costs</t>
        </is>
      </c>
      <c r="C19" s="7" t="inlineStr">
        <is>
          <t>At most 4 materials plus coins in any build or upgrade cost.</t>
        </is>
      </c>
      <c r="D19" s="7" t="inlineStr">
        <is>
          <t>New materials replace old ones rather than lengthen lists.</t>
        </is>
      </c>
      <c r="E19" s="45" t="inlineStr">
        <is>
          <t>Agree</t>
        </is>
      </c>
      <c r="F19" s="45" t="n"/>
      <c r="G19" s="7" t="inlineStr">
        <is>
          <t>As agreed</t>
        </is>
      </c>
    </row>
    <row r="20" ht="14.25" customHeight="1" s="46">
      <c r="A20" s="7" t="inlineStr">
        <is>
          <t>G13</t>
        </is>
      </c>
      <c r="B20" s="7" t="inlineStr">
        <is>
          <t>Recipes</t>
        </is>
      </c>
      <c r="C20" s="7" t="inlineStr">
        <is>
          <t>At most 3 inputs per recipe.</t>
        </is>
      </c>
      <c r="D20" s="7" t="n"/>
      <c r="E20" s="45" t="inlineStr">
        <is>
          <t>Agree</t>
        </is>
      </c>
      <c r="F20" s="45" t="n"/>
      <c r="G20" s="7" t="inlineStr">
        <is>
          <t>As agreed</t>
        </is>
      </c>
    </row>
    <row r="21" ht="90.75" customHeight="1" s="46">
      <c r="A21" s="7" t="inlineStr">
        <is>
          <t>G14</t>
        </is>
      </c>
      <c r="B21" s="7" t="inlineStr">
        <is>
          <t>Every good</t>
        </is>
      </c>
      <c r="C21" s="7" t="inlineStr">
        <is>
          <t>Every good has a source by the stage it is needed (made, or bought as a stopgap) and a use. Foods count as used by being eaten. Intermediate goods (flour, hides, woad) need only the chain they feed. Finished goods need two uses: a recipe, a build cost, upkeep, a home need, a luxury or tavern drink; a luxury may count export as one.</t>
        </is>
      </c>
      <c r="D21" s="7" t="inlineStr">
        <is>
          <t>No dead ends, and no goods that only exist to be sold (oats today).</t>
        </is>
      </c>
      <c r="E21" s="45" t="inlineStr">
        <is>
          <t>Agree</t>
        </is>
      </c>
      <c r="F21" s="45" t="n"/>
      <c r="G21" s="7" t="inlineStr">
        <is>
          <t>As agreed</t>
        </is>
      </c>
    </row>
    <row r="22" ht="51.75" customHeight="1" s="46">
      <c r="A22" s="7" t="inlineStr">
        <is>
          <t>G15</t>
        </is>
      </c>
      <c r="B22" s="7" t="inlineStr">
        <is>
          <t>Upkeep</t>
        </is>
      </c>
      <c r="C22" s="7" t="inlineStr">
        <is>
          <t>Simple buildings wear tools or wood parts at low rates from the start; if the town is slow to make them, it imports them. The settlers bring enough tools for two years of a regular set of simple buildings.</t>
        </is>
      </c>
      <c r="D22" s="7" t="inlineStr">
        <is>
          <t>Today woodcutters, quarries and farms wear tools that cannot be made before a Town.</t>
        </is>
      </c>
      <c r="E22" s="45" t="inlineStr">
        <is>
          <t>Change</t>
        </is>
      </c>
      <c r="F22" s="45" t="inlineStr">
        <is>
          <t>Simple buildings consume at lower rates, yes, but they can consume tools or parts, if the player is too slow in developing the industry, they must be imported.</t>
        </is>
      </c>
      <c r="G22" s="13" t="inlineStr">
        <is>
          <t>Revised to your note</t>
        </is>
      </c>
    </row>
    <row r="23" ht="39" customHeight="1" s="46">
      <c r="A23" s="7" t="inlineStr">
        <is>
          <t>G16</t>
        </is>
      </c>
      <c r="B23" s="7" t="inlineStr">
        <is>
          <t>One craft</t>
        </is>
      </c>
      <c r="C23" s="7" t="inlineStr">
        <is>
          <t>A building does one craft. Several recipes only where they share the workplace and skill (tailor: clothes and boots). Fine clothes get their own building.</t>
        </is>
      </c>
      <c r="D23" s="7" t="inlineStr">
        <is>
          <t>Keeps the build menu readable.</t>
        </is>
      </c>
      <c r="E23" s="45" t="inlineStr">
        <is>
          <t>Change</t>
        </is>
      </c>
      <c r="F23" s="45" t="inlineStr">
        <is>
          <t>Fine clothes will have their own building</t>
        </is>
      </c>
      <c r="G23" s="13" t="inlineStr">
        <is>
          <t>Revised to your note</t>
        </is>
      </c>
    </row>
    <row r="24" ht="25.5" customHeight="1" s="46">
      <c r="A24" s="7" t="inlineStr">
        <is>
          <t>G17</t>
        </is>
      </c>
      <c r="B24" s="7" t="inlineStr">
        <is>
          <t>Pace</t>
        </is>
      </c>
      <c r="C24" s="7" t="inlineStr">
        <is>
          <t>Each rank opens at most three new lines (a line = a new raw good and what it becomes).</t>
        </is>
      </c>
      <c r="D24" s="7" t="inlineStr">
        <is>
          <t>One thing to learn at a time.</t>
        </is>
      </c>
      <c r="E24" s="45" t="inlineStr">
        <is>
          <t>Agree</t>
        </is>
      </c>
      <c r="F24" s="45" t="n"/>
      <c r="G24" s="7" t="inlineStr">
        <is>
          <t>As agreed</t>
        </is>
      </c>
    </row>
    <row r="25" ht="79.5" customHeight="1" s="46">
      <c r="A25" s="7" t="inlineStr">
        <is>
          <t>G18</t>
        </is>
      </c>
      <c r="B25" s="7" t="inlineStr">
        <is>
          <t>Fuel</t>
        </is>
      </c>
      <c r="C25" s="7" t="inlineStr">
        <is>
          <t>Workshops with a fire burn fuel with each batch, like an input, so an idle workshop burns nothing. One firewood is one unit of fuel and one charcoal two. Fuel burners: bakery, brewhouse, kiln, potter, lime kiln, bloomery, blacksmith, dyer. The glassworks needs charcoal itself, for the heat. Homes heat with firewood only.</t>
        </is>
      </c>
      <c r="D25" s="7" t="inlineStr">
        <is>
          <t>Your answer to doubt 3: always fuel, charcoal just more efficient.</t>
        </is>
      </c>
      <c r="E25" s="45" t="inlineStr">
        <is>
          <t>Agree</t>
        </is>
      </c>
      <c r="F25" s="45" t="n"/>
      <c r="G25" s="13" t="inlineStr">
        <is>
          <t>New, from your answers</t>
        </is>
      </c>
    </row>
    <row r="26" ht="94.5" customHeight="1" s="46">
      <c r="A26" s="7" t="inlineStr">
        <is>
          <t>G19</t>
        </is>
      </c>
      <c r="B26" s="7" t="inlineStr">
        <is>
          <t>Scale</t>
        </is>
      </c>
      <c r="C26" s="7" t="inlineStr">
        <is>
          <t>Construction costs are as in 2 Costs (about a third of today's material on the median). To match, most non-food goods are made more slowly (provisionally a third of today's speed). Food production, storage, taxes and prices wait for the rebalance (step 8).</t>
        </is>
      </c>
      <c r="D26" s="7" t="inlineStr">
        <is>
          <t>Your answer: reduce the production speed of most goods; food waits for step 8.</t>
        </is>
      </c>
      <c r="E26" s="45" t="n"/>
      <c r="F26" s="45" t="n"/>
      <c r="G26" s="13" t="inlineStr">
        <is>
          <t>Revised to your note</t>
        </is>
      </c>
    </row>
    <row r="27" ht="94.5" customHeight="1" s="46">
      <c r="A27" s="7" t="inlineStr">
        <is>
          <t>G20</t>
        </is>
      </c>
      <c r="B27" s="7" t="inlineStr">
        <is>
          <t>Crew</t>
        </is>
      </c>
      <c r="C27" s="7" t="inlineStr">
        <is>
          <t>Everything a building does scales with how many of its places are filled: output, upkeep, and also services (how many homes an alehouse or market serves, how much a trading post moves, how fast haulers fetch, how much a builder's yard speeds, how much a monastery or university teaches).</t>
        </is>
      </c>
      <c r="D27" s="7" t="inlineStr">
        <is>
          <t>Today output and upkeep scale with the crew, but most services work at full strength with a single worker.</t>
        </is>
      </c>
      <c r="E27" s="45" t="n"/>
      <c r="F27" s="45" t="n"/>
      <c r="G27" s="13" t="inlineStr">
        <is>
          <t>New, from your note</t>
        </is>
      </c>
    </row>
    <row r="28" ht="60" customHeight="1" s="46">
      <c r="A28" s="7" t="inlineStr">
        <is>
          <t>G21</t>
        </is>
      </c>
      <c r="B28" s="7" t="inlineStr">
        <is>
          <t>Costs</t>
        </is>
      </c>
      <c r="C28" s="7" t="inlineStr">
        <is>
          <t>A building costs roughly the same number of units whatever its tier (about 3-12; Great Works more). Higher tiers ask for finer materials, or more of a simpler one, not ever bigger piles.</t>
        </is>
      </c>
      <c r="D28" s="7" t="inlineStr">
        <is>
          <t>Your balance reference.</t>
        </is>
      </c>
      <c r="E28" s="45" t="inlineStr">
        <is>
          <t>Agree</t>
        </is>
      </c>
      <c r="F28" s="45" t="n"/>
      <c r="G28" s="13" t="inlineStr">
        <is>
          <t>New, from your note</t>
        </is>
      </c>
    </row>
    <row r="29" ht="14.25" customHeight="1" s="46">
      <c r="A29" s="2" t="n"/>
      <c r="B29" s="2" t="n"/>
      <c r="C29" s="2" t="n"/>
      <c r="D29" s="2" t="n"/>
      <c r="E29" s="2" t="n"/>
      <c r="F29" s="2" t="n"/>
      <c r="G29" s="2" t="n"/>
    </row>
    <row r="30" ht="14.25" customHeight="1" s="46">
      <c r="A30" s="2" t="n"/>
      <c r="B30" s="2" t="n"/>
      <c r="C30" s="2" t="n"/>
      <c r="D30" s="2" t="n"/>
      <c r="E30" s="2" t="n"/>
      <c r="F30" s="2" t="n"/>
      <c r="G30" s="2" t="n"/>
    </row>
    <row r="31" ht="14.25" customHeight="1" s="46">
      <c r="A31" s="2" t="n"/>
      <c r="B31" s="2" t="n"/>
      <c r="C31" s="2" t="n"/>
      <c r="D31" s="2" t="n"/>
      <c r="E31" s="2" t="n"/>
      <c r="F31" s="2" t="n"/>
      <c r="G31" s="2" t="n"/>
    </row>
    <row r="32" ht="14.25" customHeight="1" s="46">
      <c r="A32" s="2" t="n"/>
      <c r="B32" s="2" t="n"/>
      <c r="C32" s="2" t="n"/>
      <c r="D32" s="2" t="n"/>
      <c r="E32" s="2" t="n"/>
      <c r="F32" s="2" t="n"/>
      <c r="G32" s="2" t="n"/>
    </row>
    <row r="33" ht="14.25" customHeight="1" s="46">
      <c r="A33" s="2" t="n"/>
      <c r="B33" s="2" t="n"/>
      <c r="C33" s="2" t="n"/>
      <c r="D33" s="2" t="n"/>
      <c r="E33" s="2" t="n"/>
      <c r="F33" s="2" t="n"/>
      <c r="G33" s="2" t="n"/>
    </row>
    <row r="34" ht="14.25" customHeight="1" s="46">
      <c r="A34" s="2" t="n"/>
      <c r="B34" s="2" t="n"/>
      <c r="C34" s="2" t="n"/>
      <c r="D34" s="2" t="n"/>
      <c r="E34" s="2" t="n"/>
      <c r="F34" s="2" t="n"/>
      <c r="G34" s="2" t="n"/>
    </row>
    <row r="35" ht="14.25" customHeight="1" s="46">
      <c r="A35" s="2" t="n"/>
      <c r="B35" s="2" t="n"/>
      <c r="C35" s="2" t="n"/>
      <c r="D35" s="2" t="n"/>
      <c r="E35" s="2" t="n"/>
      <c r="F35" s="2" t="n"/>
      <c r="G35" s="2" t="n"/>
    </row>
    <row r="36" ht="14.25" customHeight="1" s="46">
      <c r="A36" s="2" t="n"/>
      <c r="B36" s="2" t="n"/>
      <c r="C36" s="2" t="n"/>
      <c r="D36" s="2" t="n"/>
      <c r="E36" s="2" t="n"/>
      <c r="F36" s="2" t="n"/>
      <c r="G36" s="2" t="n"/>
    </row>
    <row r="37" ht="14.25" customHeight="1" s="46">
      <c r="A37" s="2" t="n"/>
      <c r="B37" s="2" t="n"/>
      <c r="C37" s="2" t="n"/>
      <c r="D37" s="2" t="n"/>
      <c r="E37" s="2" t="n"/>
      <c r="F37" s="2" t="n"/>
      <c r="G37" s="2" t="n"/>
    </row>
    <row r="38" ht="14.25" customHeight="1" s="46">
      <c r="A38" s="2" t="n"/>
      <c r="B38" s="2" t="n"/>
      <c r="C38" s="2" t="n"/>
      <c r="D38" s="2" t="n"/>
      <c r="E38" s="2" t="n"/>
      <c r="F38" s="2" t="n"/>
      <c r="G38" s="2" t="n"/>
    </row>
    <row r="39" ht="14.25" customHeight="1" s="46">
      <c r="A39" s="2" t="n"/>
      <c r="B39" s="2" t="n"/>
      <c r="C39" s="2" t="n"/>
      <c r="D39" s="2" t="n"/>
      <c r="E39" s="2" t="n"/>
      <c r="F39" s="2" t="n"/>
      <c r="G39" s="2" t="n"/>
    </row>
    <row r="40" ht="14.25" customHeight="1" s="46">
      <c r="A40" s="2" t="n"/>
      <c r="B40" s="2" t="n"/>
      <c r="C40" s="2" t="n"/>
      <c r="D40" s="2" t="n"/>
      <c r="E40" s="2" t="n"/>
      <c r="F40" s="2" t="n"/>
      <c r="G40" s="2" t="n"/>
    </row>
    <row r="41" ht="14.25" customHeight="1" s="46">
      <c r="A41" s="2" t="n"/>
      <c r="B41" s="2" t="n"/>
      <c r="C41" s="2" t="n"/>
      <c r="D41" s="2" t="n"/>
      <c r="E41" s="2" t="n"/>
      <c r="F41" s="2" t="n"/>
      <c r="G41" s="2" t="n"/>
    </row>
    <row r="42" ht="14.25" customHeight="1" s="46">
      <c r="A42" s="2" t="n"/>
      <c r="B42" s="2" t="n"/>
      <c r="C42" s="2" t="n"/>
      <c r="D42" s="2" t="n"/>
      <c r="E42" s="2" t="n"/>
      <c r="F42" s="2" t="n"/>
      <c r="G42" s="2" t="n"/>
    </row>
    <row r="43" ht="14.25" customHeight="1" s="46">
      <c r="A43" s="2" t="n"/>
      <c r="B43" s="2" t="n"/>
      <c r="C43" s="2" t="n"/>
      <c r="D43" s="2" t="n"/>
      <c r="E43" s="2" t="n"/>
      <c r="F43" s="2" t="n"/>
      <c r="G43" s="2" t="n"/>
    </row>
    <row r="44" ht="14.25" customHeight="1" s="46">
      <c r="A44" s="2" t="n"/>
      <c r="B44" s="2" t="n"/>
      <c r="C44" s="2" t="n"/>
      <c r="D44" s="2" t="n"/>
      <c r="E44" s="2" t="n"/>
      <c r="F44" s="2" t="n"/>
      <c r="G44" s="2" t="n"/>
    </row>
    <row r="45" ht="14.25" customHeight="1" s="46">
      <c r="A45" s="2" t="n"/>
      <c r="B45" s="2" t="n"/>
      <c r="C45" s="2" t="n"/>
      <c r="D45" s="2" t="n"/>
      <c r="E45" s="2" t="n"/>
      <c r="F45" s="2" t="n"/>
      <c r="G45" s="2" t="n"/>
    </row>
    <row r="46" ht="14.25" customHeight="1" s="46">
      <c r="A46" s="2" t="n"/>
      <c r="B46" s="2" t="n"/>
      <c r="C46" s="2" t="n"/>
      <c r="D46" s="2" t="n"/>
      <c r="E46" s="2" t="n"/>
      <c r="F46" s="2" t="n"/>
      <c r="G46" s="2" t="n"/>
    </row>
    <row r="47" ht="14.25" customHeight="1" s="46">
      <c r="A47" s="2" t="n"/>
      <c r="B47" s="2" t="n"/>
      <c r="C47" s="2" t="n"/>
      <c r="D47" s="2" t="n"/>
      <c r="E47" s="2" t="n"/>
      <c r="F47" s="2" t="n"/>
      <c r="G47" s="2" t="n"/>
    </row>
    <row r="48" ht="14.25" customHeight="1" s="46">
      <c r="A48" s="2" t="n"/>
      <c r="B48" s="2" t="n"/>
      <c r="C48" s="2" t="n"/>
      <c r="D48" s="2" t="n"/>
      <c r="E48" s="2" t="n"/>
      <c r="F48" s="2" t="n"/>
      <c r="G48" s="2" t="n"/>
    </row>
    <row r="49" ht="14.25" customHeight="1" s="46">
      <c r="A49" s="2" t="n"/>
      <c r="B49" s="2" t="n"/>
      <c r="C49" s="2" t="n"/>
      <c r="D49" s="2" t="n"/>
      <c r="E49" s="2" t="n"/>
      <c r="F49" s="2" t="n"/>
      <c r="G49" s="2" t="n"/>
    </row>
    <row r="50" ht="14.25" customHeight="1" s="46">
      <c r="A50" s="2" t="n"/>
      <c r="B50" s="2" t="n"/>
      <c r="C50" s="2" t="n"/>
      <c r="D50" s="2" t="n"/>
      <c r="E50" s="2" t="n"/>
      <c r="F50" s="2" t="n"/>
      <c r="G50" s="2" t="n"/>
    </row>
    <row r="51" ht="14.25" customHeight="1" s="46">
      <c r="A51" s="2" t="n"/>
      <c r="B51" s="2" t="n"/>
      <c r="C51" s="2" t="n"/>
      <c r="D51" s="2" t="n"/>
      <c r="E51" s="2" t="n"/>
      <c r="F51" s="2" t="n"/>
      <c r="G51" s="2" t="n"/>
    </row>
    <row r="52" ht="14.25" customHeight="1" s="46">
      <c r="A52" s="2" t="n"/>
      <c r="B52" s="2" t="n"/>
      <c r="C52" s="2" t="n"/>
      <c r="D52" s="2" t="n"/>
      <c r="E52" s="2" t="n"/>
      <c r="F52" s="2" t="n"/>
      <c r="G52" s="2" t="n"/>
    </row>
    <row r="53" ht="14.25" customHeight="1" s="46">
      <c r="A53" s="2" t="n"/>
      <c r="B53" s="2" t="n"/>
      <c r="C53" s="2" t="n"/>
      <c r="D53" s="2" t="n"/>
      <c r="E53" s="2" t="n"/>
      <c r="F53" s="2" t="n"/>
      <c r="G53" s="2" t="n"/>
    </row>
    <row r="54" ht="14.25" customHeight="1" s="46">
      <c r="A54" s="2" t="n"/>
      <c r="B54" s="2" t="n"/>
      <c r="C54" s="2" t="n"/>
      <c r="D54" s="2" t="n"/>
      <c r="E54" s="2" t="n"/>
      <c r="F54" s="2" t="n"/>
      <c r="G54" s="2" t="n"/>
    </row>
    <row r="55" ht="14.25" customHeight="1" s="46">
      <c r="A55" s="2" t="n"/>
      <c r="B55" s="2" t="n"/>
      <c r="C55" s="2" t="n"/>
      <c r="D55" s="2" t="n"/>
      <c r="E55" s="2" t="n"/>
      <c r="F55" s="2" t="n"/>
      <c r="G55" s="2" t="n"/>
    </row>
    <row r="56" ht="14.25" customHeight="1" s="46">
      <c r="A56" s="2" t="n"/>
      <c r="B56" s="2" t="n"/>
      <c r="C56" s="2" t="n"/>
      <c r="D56" s="2" t="n"/>
      <c r="E56" s="2" t="n"/>
      <c r="F56" s="2" t="n"/>
      <c r="G56" s="2" t="n"/>
    </row>
    <row r="57" ht="14.25" customHeight="1" s="46">
      <c r="A57" s="2" t="n"/>
      <c r="B57" s="2" t="n"/>
      <c r="C57" s="2" t="n"/>
      <c r="D57" s="2" t="n"/>
      <c r="E57" s="2" t="n"/>
      <c r="F57" s="2" t="n"/>
      <c r="G57" s="2" t="n"/>
    </row>
    <row r="58" ht="14.25" customHeight="1" s="46">
      <c r="A58" s="2" t="n"/>
      <c r="B58" s="2" t="n"/>
      <c r="C58" s="2" t="n"/>
      <c r="D58" s="2" t="n"/>
      <c r="E58" s="2" t="n"/>
      <c r="F58" s="2" t="n"/>
      <c r="G58" s="2" t="n"/>
    </row>
    <row r="59" ht="14.25" customHeight="1" s="46">
      <c r="A59" s="2" t="n"/>
      <c r="B59" s="2" t="n"/>
      <c r="C59" s="2" t="n"/>
      <c r="D59" s="2" t="n"/>
      <c r="E59" s="2" t="n"/>
      <c r="F59" s="2" t="n"/>
      <c r="G59" s="2" t="n"/>
    </row>
    <row r="60" ht="14.25" customHeight="1" s="46">
      <c r="A60" s="2" t="n"/>
      <c r="B60" s="2" t="n"/>
      <c r="C60" s="2" t="n"/>
      <c r="D60" s="2" t="n"/>
      <c r="E60" s="2" t="n"/>
      <c r="F60" s="2" t="n"/>
      <c r="G60" s="2" t="n"/>
    </row>
    <row r="61" ht="14.25" customHeight="1" s="46">
      <c r="A61" s="2" t="n"/>
      <c r="B61" s="2" t="n"/>
      <c r="C61" s="2" t="n"/>
      <c r="D61" s="2" t="n"/>
      <c r="E61" s="2" t="n"/>
      <c r="F61" s="2" t="n"/>
      <c r="G61" s="2" t="n"/>
    </row>
    <row r="62" ht="14.25" customHeight="1" s="46">
      <c r="A62" s="2" t="n"/>
      <c r="B62" s="2" t="n"/>
      <c r="C62" s="2" t="n"/>
      <c r="D62" s="2" t="n"/>
      <c r="E62" s="2" t="n"/>
      <c r="F62" s="2" t="n"/>
      <c r="G62" s="2" t="n"/>
    </row>
    <row r="63" ht="14.25" customHeight="1" s="46">
      <c r="A63" s="2" t="n"/>
      <c r="B63" s="2" t="n"/>
      <c r="C63" s="2" t="n"/>
      <c r="D63" s="2" t="n"/>
      <c r="E63" s="2" t="n"/>
      <c r="F63" s="2" t="n"/>
      <c r="G63" s="2" t="n"/>
    </row>
    <row r="64" ht="14.25" customHeight="1" s="46">
      <c r="A64" s="2" t="n"/>
      <c r="B64" s="2" t="n"/>
      <c r="C64" s="2" t="n"/>
      <c r="D64" s="2" t="n"/>
      <c r="E64" s="2" t="n"/>
      <c r="F64" s="2" t="n"/>
      <c r="G64" s="2" t="n"/>
    </row>
    <row r="65" ht="14.25" customHeight="1" s="46">
      <c r="A65" s="2" t="n"/>
      <c r="B65" s="2" t="n"/>
      <c r="C65" s="2" t="n"/>
      <c r="D65" s="2" t="n"/>
      <c r="E65" s="2" t="n"/>
      <c r="F65" s="2" t="n"/>
      <c r="G65" s="2" t="n"/>
    </row>
    <row r="66" ht="14.25" customHeight="1" s="46">
      <c r="A66" s="2" t="n"/>
      <c r="B66" s="2" t="n"/>
      <c r="C66" s="2" t="n"/>
      <c r="D66" s="2" t="n"/>
      <c r="E66" s="2" t="n"/>
      <c r="F66" s="2" t="n"/>
      <c r="G66" s="2" t="n"/>
    </row>
    <row r="67" ht="14.25" customHeight="1" s="46">
      <c r="A67" s="2" t="n"/>
      <c r="B67" s="2" t="n"/>
      <c r="C67" s="2" t="n"/>
      <c r="D67" s="2" t="n"/>
      <c r="E67" s="2" t="n"/>
      <c r="F67" s="2" t="n"/>
      <c r="G67" s="2" t="n"/>
    </row>
    <row r="68" ht="14.25" customHeight="1" s="46">
      <c r="A68" s="2" t="n"/>
      <c r="B68" s="2" t="n"/>
      <c r="C68" s="2" t="n"/>
      <c r="D68" s="2" t="n"/>
      <c r="E68" s="2" t="n"/>
      <c r="F68" s="2" t="n"/>
      <c r="G68" s="2" t="n"/>
    </row>
    <row r="69" ht="14.25" customHeight="1" s="46">
      <c r="A69" s="2" t="n"/>
      <c r="B69" s="2" t="n"/>
      <c r="C69" s="2" t="n"/>
      <c r="D69" s="2" t="n"/>
      <c r="E69" s="2" t="n"/>
      <c r="F69" s="2" t="n"/>
      <c r="G69" s="2" t="n"/>
    </row>
    <row r="70" ht="14.25" customHeight="1" s="46">
      <c r="A70" s="2" t="n"/>
      <c r="B70" s="2" t="n"/>
      <c r="C70" s="2" t="n"/>
      <c r="D70" s="2" t="n"/>
      <c r="E70" s="2" t="n"/>
      <c r="F70" s="2" t="n"/>
      <c r="G70" s="2" t="n"/>
    </row>
    <row r="71" ht="14.25" customHeight="1" s="46">
      <c r="A71" s="2" t="n"/>
      <c r="B71" s="2" t="n"/>
      <c r="C71" s="2" t="n"/>
      <c r="D71" s="2" t="n"/>
      <c r="E71" s="2" t="n"/>
      <c r="F71" s="2" t="n"/>
      <c r="G71" s="2" t="n"/>
    </row>
    <row r="72" ht="14.25" customHeight="1" s="46">
      <c r="A72" s="2" t="n"/>
      <c r="B72" s="2" t="n"/>
      <c r="C72" s="2" t="n"/>
      <c r="D72" s="2" t="n"/>
      <c r="E72" s="2" t="n"/>
      <c r="F72" s="2" t="n"/>
      <c r="G72" s="2" t="n"/>
    </row>
    <row r="73" ht="14.25" customHeight="1" s="46">
      <c r="A73" s="2" t="n"/>
      <c r="B73" s="2" t="n"/>
      <c r="C73" s="2" t="n"/>
      <c r="D73" s="2" t="n"/>
      <c r="E73" s="2" t="n"/>
      <c r="F73" s="2" t="n"/>
      <c r="G73" s="2" t="n"/>
    </row>
    <row r="74" ht="14.25" customHeight="1" s="46">
      <c r="A74" s="2" t="n"/>
      <c r="B74" s="2" t="n"/>
      <c r="C74" s="2" t="n"/>
      <c r="D74" s="2" t="n"/>
      <c r="E74" s="2" t="n"/>
      <c r="F74" s="2" t="n"/>
      <c r="G74" s="2" t="n"/>
    </row>
    <row r="75" ht="14.25" customHeight="1" s="46">
      <c r="A75" s="2" t="n"/>
      <c r="B75" s="2" t="n"/>
      <c r="C75" s="2" t="n"/>
      <c r="D75" s="2" t="n"/>
      <c r="E75" s="2" t="n"/>
      <c r="F75" s="2" t="n"/>
      <c r="G75" s="2" t="n"/>
    </row>
    <row r="76" ht="14.25" customHeight="1" s="46">
      <c r="A76" s="2" t="n"/>
      <c r="B76" s="2" t="n"/>
      <c r="C76" s="2" t="n"/>
      <c r="D76" s="2" t="n"/>
      <c r="E76" s="2" t="n"/>
      <c r="F76" s="2" t="n"/>
      <c r="G76" s="2" t="n"/>
    </row>
    <row r="77" ht="14.25" customHeight="1" s="46">
      <c r="A77" s="2" t="n"/>
      <c r="B77" s="2" t="n"/>
      <c r="C77" s="2" t="n"/>
      <c r="D77" s="2" t="n"/>
      <c r="E77" s="2" t="n"/>
      <c r="F77" s="2" t="n"/>
      <c r="G77" s="2" t="n"/>
    </row>
    <row r="78" ht="14.25" customHeight="1" s="46">
      <c r="A78" s="2" t="n"/>
      <c r="B78" s="2" t="n"/>
      <c r="C78" s="2" t="n"/>
      <c r="D78" s="2" t="n"/>
      <c r="E78" s="2" t="n"/>
      <c r="F78" s="2" t="n"/>
      <c r="G78" s="2" t="n"/>
    </row>
    <row r="79" ht="14.25" customHeight="1" s="46">
      <c r="A79" s="2" t="n"/>
      <c r="B79" s="2" t="n"/>
      <c r="C79" s="2" t="n"/>
      <c r="D79" s="2" t="n"/>
      <c r="E79" s="2" t="n"/>
      <c r="F79" s="2" t="n"/>
      <c r="G79" s="2" t="n"/>
    </row>
    <row r="80" ht="14.25" customHeight="1" s="46">
      <c r="A80" s="2" t="n"/>
      <c r="B80" s="2" t="n"/>
      <c r="C80" s="2" t="n"/>
      <c r="D80" s="2" t="n"/>
      <c r="E80" s="2" t="n"/>
      <c r="F80" s="2" t="n"/>
      <c r="G80" s="2" t="n"/>
    </row>
    <row r="81" ht="14.25" customHeight="1" s="46">
      <c r="A81" s="2" t="n"/>
      <c r="B81" s="2" t="n"/>
      <c r="C81" s="2" t="n"/>
      <c r="D81" s="2" t="n"/>
      <c r="E81" s="2" t="n"/>
      <c r="F81" s="2" t="n"/>
      <c r="G81" s="2" t="n"/>
    </row>
    <row r="82" ht="14.25" customHeight="1" s="46">
      <c r="A82" s="2" t="n"/>
      <c r="B82" s="2" t="n"/>
      <c r="C82" s="2" t="n"/>
      <c r="D82" s="2" t="n"/>
      <c r="E82" s="2" t="n"/>
      <c r="F82" s="2" t="n"/>
      <c r="G82" s="2" t="n"/>
    </row>
    <row r="83" ht="14.25" customHeight="1" s="46">
      <c r="A83" s="2" t="n"/>
      <c r="B83" s="2" t="n"/>
      <c r="C83" s="2" t="n"/>
      <c r="D83" s="2" t="n"/>
      <c r="E83" s="2" t="n"/>
      <c r="F83" s="2" t="n"/>
      <c r="G83" s="2" t="n"/>
    </row>
    <row r="84" ht="14.25" customHeight="1" s="46">
      <c r="A84" s="2" t="n"/>
      <c r="B84" s="2" t="n"/>
      <c r="C84" s="2" t="n"/>
      <c r="D84" s="2" t="n"/>
      <c r="E84" s="2" t="n"/>
      <c r="F84" s="2" t="n"/>
      <c r="G84" s="2" t="n"/>
    </row>
    <row r="85" ht="14.25" customHeight="1" s="46">
      <c r="A85" s="2" t="n"/>
      <c r="B85" s="2" t="n"/>
      <c r="C85" s="2" t="n"/>
      <c r="D85" s="2" t="n"/>
      <c r="E85" s="2" t="n"/>
      <c r="F85" s="2" t="n"/>
      <c r="G85" s="2" t="n"/>
    </row>
    <row r="86" ht="14.25" customHeight="1" s="46">
      <c r="A86" s="2" t="n"/>
      <c r="B86" s="2" t="n"/>
      <c r="C86" s="2" t="n"/>
      <c r="D86" s="2" t="n"/>
      <c r="E86" s="2" t="n"/>
      <c r="F86" s="2" t="n"/>
      <c r="G86" s="2" t="n"/>
    </row>
    <row r="87" ht="14.25" customHeight="1" s="46">
      <c r="A87" s="2" t="n"/>
      <c r="B87" s="2" t="n"/>
      <c r="C87" s="2" t="n"/>
      <c r="D87" s="2" t="n"/>
      <c r="E87" s="2" t="n"/>
      <c r="F87" s="2" t="n"/>
      <c r="G87" s="2" t="n"/>
    </row>
    <row r="88" ht="14.25" customHeight="1" s="46">
      <c r="A88" s="2" t="n"/>
      <c r="B88" s="2" t="n"/>
      <c r="C88" s="2" t="n"/>
      <c r="D88" s="2" t="n"/>
      <c r="E88" s="2" t="n"/>
      <c r="F88" s="2" t="n"/>
      <c r="G88" s="2" t="n"/>
    </row>
    <row r="89" ht="14.25" customHeight="1" s="46">
      <c r="A89" s="2" t="n"/>
      <c r="B89" s="2" t="n"/>
      <c r="C89" s="2" t="n"/>
      <c r="D89" s="2" t="n"/>
      <c r="E89" s="2" t="n"/>
      <c r="F89" s="2" t="n"/>
      <c r="G89" s="2" t="n"/>
    </row>
    <row r="90" ht="14.25" customHeight="1" s="46">
      <c r="A90" s="2" t="n"/>
      <c r="B90" s="2" t="n"/>
      <c r="C90" s="2" t="n"/>
      <c r="D90" s="2" t="n"/>
      <c r="E90" s="2" t="n"/>
      <c r="F90" s="2" t="n"/>
      <c r="G90" s="2" t="n"/>
    </row>
    <row r="91" ht="14.25" customHeight="1" s="46">
      <c r="A91" s="2" t="n"/>
      <c r="B91" s="2" t="n"/>
      <c r="C91" s="2" t="n"/>
      <c r="D91" s="2" t="n"/>
      <c r="E91" s="2" t="n"/>
      <c r="F91" s="2" t="n"/>
      <c r="G91" s="2" t="n"/>
    </row>
    <row r="92" ht="14.25" customHeight="1" s="46">
      <c r="A92" s="2" t="n"/>
      <c r="B92" s="2" t="n"/>
      <c r="C92" s="2" t="n"/>
      <c r="D92" s="2" t="n"/>
      <c r="E92" s="2" t="n"/>
      <c r="F92" s="2" t="n"/>
      <c r="G92" s="2" t="n"/>
    </row>
    <row r="93" ht="14.25" customHeight="1" s="46">
      <c r="A93" s="2" t="n"/>
      <c r="B93" s="2" t="n"/>
      <c r="C93" s="2" t="n"/>
      <c r="D93" s="2" t="n"/>
      <c r="E93" s="2" t="n"/>
      <c r="F93" s="2" t="n"/>
      <c r="G93" s="2" t="n"/>
    </row>
    <row r="94" ht="14.25" customHeight="1" s="46">
      <c r="A94" s="2" t="n"/>
      <c r="B94" s="2" t="n"/>
      <c r="C94" s="2" t="n"/>
      <c r="D94" s="2" t="n"/>
      <c r="E94" s="2" t="n"/>
      <c r="F94" s="2" t="n"/>
      <c r="G94" s="2" t="n"/>
    </row>
    <row r="95" ht="14.25" customHeight="1" s="46">
      <c r="A95" s="2" t="n"/>
      <c r="B95" s="2" t="n"/>
      <c r="C95" s="2" t="n"/>
      <c r="D95" s="2" t="n"/>
      <c r="E95" s="2" t="n"/>
      <c r="F95" s="2" t="n"/>
      <c r="G95" s="2" t="n"/>
    </row>
    <row r="96" ht="14.25" customHeight="1" s="46">
      <c r="A96" s="2" t="n"/>
      <c r="B96" s="2" t="n"/>
      <c r="C96" s="2" t="n"/>
      <c r="D96" s="2" t="n"/>
      <c r="E96" s="2" t="n"/>
      <c r="F96" s="2" t="n"/>
      <c r="G96" s="2" t="n"/>
    </row>
    <row r="97" ht="14.25" customHeight="1" s="46">
      <c r="A97" s="2" t="n"/>
      <c r="B97" s="2" t="n"/>
      <c r="C97" s="2" t="n"/>
      <c r="D97" s="2" t="n"/>
      <c r="E97" s="2" t="n"/>
      <c r="F97" s="2" t="n"/>
      <c r="G97" s="2" t="n"/>
    </row>
    <row r="98" ht="14.25" customHeight="1" s="46">
      <c r="A98" s="2" t="n"/>
      <c r="B98" s="2" t="n"/>
      <c r="C98" s="2" t="n"/>
      <c r="D98" s="2" t="n"/>
      <c r="E98" s="2" t="n"/>
      <c r="F98" s="2" t="n"/>
      <c r="G98" s="2" t="n"/>
    </row>
    <row r="99" ht="14.25" customHeight="1" s="46">
      <c r="A99" s="2" t="n"/>
      <c r="B99" s="2" t="n"/>
      <c r="C99" s="2" t="n"/>
      <c r="D99" s="2" t="n"/>
      <c r="E99" s="2" t="n"/>
      <c r="F99" s="2" t="n"/>
      <c r="G99" s="2" t="n"/>
    </row>
    <row r="100" ht="14.25" customHeight="1" s="46">
      <c r="A100" s="2" t="n"/>
      <c r="B100" s="2" t="n"/>
      <c r="C100" s="2" t="n"/>
      <c r="D100" s="2" t="n"/>
      <c r="E100" s="2" t="n"/>
      <c r="F100" s="2" t="n"/>
      <c r="G100" s="2" t="n"/>
    </row>
    <row r="101" ht="14.25" customHeight="1" s="46">
      <c r="A101" s="2" t="n"/>
      <c r="B101" s="2" t="n"/>
      <c r="C101" s="2" t="n"/>
      <c r="D101" s="2" t="n"/>
      <c r="E101" s="2" t="n"/>
      <c r="F101" s="2" t="n"/>
      <c r="G101" s="2" t="n"/>
    </row>
    <row r="102" ht="14.25" customHeight="1" s="46">
      <c r="A102" s="2" t="n"/>
      <c r="B102" s="2" t="n"/>
      <c r="C102" s="2" t="n"/>
      <c r="D102" s="2" t="n"/>
      <c r="E102" s="2" t="n"/>
      <c r="F102" s="2" t="n"/>
      <c r="G102" s="2" t="n"/>
    </row>
    <row r="103" ht="14.25" customHeight="1" s="46">
      <c r="A103" s="2" t="n"/>
      <c r="B103" s="2" t="n"/>
      <c r="C103" s="2" t="n"/>
      <c r="D103" s="2" t="n"/>
      <c r="E103" s="2" t="n"/>
      <c r="F103" s="2" t="n"/>
      <c r="G103" s="2" t="n"/>
    </row>
    <row r="104" ht="14.25" customHeight="1" s="46">
      <c r="A104" s="2" t="n"/>
      <c r="B104" s="2" t="n"/>
      <c r="C104" s="2" t="n"/>
      <c r="D104" s="2" t="n"/>
      <c r="E104" s="2" t="n"/>
      <c r="F104" s="2" t="n"/>
      <c r="G104" s="2" t="n"/>
    </row>
    <row r="105" ht="14.25" customHeight="1" s="46">
      <c r="A105" s="2" t="n"/>
      <c r="B105" s="2" t="n"/>
      <c r="C105" s="2" t="n"/>
      <c r="D105" s="2" t="n"/>
      <c r="E105" s="2" t="n"/>
      <c r="F105" s="2" t="n"/>
      <c r="G105" s="2" t="n"/>
    </row>
    <row r="106" ht="14.25" customHeight="1" s="46">
      <c r="A106" s="2" t="n"/>
      <c r="B106" s="2" t="n"/>
      <c r="C106" s="2" t="n"/>
      <c r="D106" s="2" t="n"/>
      <c r="E106" s="2" t="n"/>
      <c r="F106" s="2" t="n"/>
      <c r="G106" s="2" t="n"/>
    </row>
    <row r="107" ht="14.25" customHeight="1" s="46">
      <c r="A107" s="2" t="n"/>
      <c r="B107" s="2" t="n"/>
      <c r="C107" s="2" t="n"/>
      <c r="D107" s="2" t="n"/>
      <c r="E107" s="2" t="n"/>
      <c r="F107" s="2" t="n"/>
      <c r="G107" s="2" t="n"/>
    </row>
    <row r="108" ht="14.25" customHeight="1" s="46">
      <c r="A108" s="2" t="n"/>
      <c r="B108" s="2" t="n"/>
      <c r="C108" s="2" t="n"/>
      <c r="D108" s="2" t="n"/>
      <c r="E108" s="2" t="n"/>
      <c r="F108" s="2" t="n"/>
      <c r="G108" s="2" t="n"/>
    </row>
    <row r="109" ht="14.25" customHeight="1" s="46">
      <c r="A109" s="2" t="n"/>
      <c r="B109" s="2" t="n"/>
      <c r="C109" s="2" t="n"/>
      <c r="D109" s="2" t="n"/>
      <c r="E109" s="2" t="n"/>
      <c r="F109" s="2" t="n"/>
      <c r="G109" s="2" t="n"/>
    </row>
    <row r="110" ht="14.25" customHeight="1" s="46">
      <c r="A110" s="2" t="n"/>
      <c r="B110" s="2" t="n"/>
      <c r="C110" s="2" t="n"/>
      <c r="D110" s="2" t="n"/>
      <c r="E110" s="2" t="n"/>
      <c r="F110" s="2" t="n"/>
      <c r="G110" s="2" t="n"/>
    </row>
    <row r="111" ht="14.25" customHeight="1" s="46">
      <c r="A111" s="2" t="n"/>
      <c r="B111" s="2" t="n"/>
      <c r="C111" s="2" t="n"/>
      <c r="D111" s="2" t="n"/>
      <c r="E111" s="2" t="n"/>
      <c r="F111" s="2" t="n"/>
      <c r="G111" s="2" t="n"/>
    </row>
    <row r="112" ht="14.25" customHeight="1" s="46">
      <c r="A112" s="2" t="n"/>
      <c r="B112" s="2" t="n"/>
      <c r="C112" s="2" t="n"/>
      <c r="D112" s="2" t="n"/>
      <c r="E112" s="2" t="n"/>
      <c r="F112" s="2" t="n"/>
      <c r="G112" s="2" t="n"/>
    </row>
    <row r="113" ht="14.25" customHeight="1" s="46">
      <c r="A113" s="2" t="n"/>
      <c r="B113" s="2" t="n"/>
      <c r="C113" s="2" t="n"/>
      <c r="D113" s="2" t="n"/>
      <c r="E113" s="2" t="n"/>
      <c r="F113" s="2" t="n"/>
      <c r="G113" s="2" t="n"/>
    </row>
    <row r="114" ht="14.25" customHeight="1" s="46">
      <c r="A114" s="2" t="n"/>
      <c r="B114" s="2" t="n"/>
      <c r="C114" s="2" t="n"/>
      <c r="D114" s="2" t="n"/>
      <c r="E114" s="2" t="n"/>
      <c r="F114" s="2" t="n"/>
      <c r="G114" s="2" t="n"/>
    </row>
    <row r="115" ht="14.25" customHeight="1" s="46">
      <c r="A115" s="2" t="n"/>
      <c r="B115" s="2" t="n"/>
      <c r="C115" s="2" t="n"/>
      <c r="D115" s="2" t="n"/>
      <c r="E115" s="2" t="n"/>
      <c r="F115" s="2" t="n"/>
      <c r="G115" s="2" t="n"/>
    </row>
    <row r="116" ht="14.25" customHeight="1" s="46">
      <c r="A116" s="2" t="n"/>
      <c r="B116" s="2" t="n"/>
      <c r="C116" s="2" t="n"/>
      <c r="D116" s="2" t="n"/>
      <c r="E116" s="2" t="n"/>
      <c r="F116" s="2" t="n"/>
      <c r="G116" s="2" t="n"/>
    </row>
    <row r="117" ht="14.25" customHeight="1" s="46">
      <c r="A117" s="2" t="n"/>
      <c r="B117" s="2" t="n"/>
      <c r="C117" s="2" t="n"/>
      <c r="D117" s="2" t="n"/>
      <c r="E117" s="2" t="n"/>
      <c r="F117" s="2" t="n"/>
      <c r="G117" s="2" t="n"/>
    </row>
    <row r="118" ht="14.25" customHeight="1" s="46">
      <c r="A118" s="2" t="n"/>
      <c r="B118" s="2" t="n"/>
      <c r="C118" s="2" t="n"/>
      <c r="D118" s="2" t="n"/>
      <c r="E118" s="2" t="n"/>
      <c r="F118" s="2" t="n"/>
      <c r="G118" s="2" t="n"/>
    </row>
    <row r="119" ht="14.25" customHeight="1" s="46">
      <c r="A119" s="2" t="n"/>
      <c r="B119" s="2" t="n"/>
      <c r="C119" s="2" t="n"/>
      <c r="D119" s="2" t="n"/>
      <c r="E119" s="2" t="n"/>
      <c r="F119" s="2" t="n"/>
      <c r="G119" s="2" t="n"/>
    </row>
    <row r="120" ht="14.25" customHeight="1" s="46">
      <c r="A120" s="2" t="n"/>
      <c r="B120" s="2" t="n"/>
      <c r="C120" s="2" t="n"/>
      <c r="D120" s="2" t="n"/>
      <c r="E120" s="2" t="n"/>
      <c r="F120" s="2" t="n"/>
      <c r="G120" s="2" t="n"/>
    </row>
    <row r="121" ht="14.25" customHeight="1" s="46">
      <c r="A121" s="2" t="n"/>
      <c r="B121" s="2" t="n"/>
      <c r="C121" s="2" t="n"/>
      <c r="D121" s="2" t="n"/>
      <c r="E121" s="2" t="n"/>
      <c r="F121" s="2" t="n"/>
      <c r="G121" s="2" t="n"/>
    </row>
    <row r="122" ht="14.25" customHeight="1" s="46">
      <c r="A122" s="2" t="n"/>
      <c r="B122" s="2" t="n"/>
      <c r="C122" s="2" t="n"/>
      <c r="D122" s="2" t="n"/>
      <c r="E122" s="2" t="n"/>
      <c r="F122" s="2" t="n"/>
      <c r="G122" s="2" t="n"/>
    </row>
    <row r="123" ht="14.25" customHeight="1" s="46">
      <c r="A123" s="2" t="n"/>
      <c r="B123" s="2" t="n"/>
      <c r="C123" s="2" t="n"/>
      <c r="D123" s="2" t="n"/>
      <c r="E123" s="2" t="n"/>
      <c r="F123" s="2" t="n"/>
      <c r="G123" s="2" t="n"/>
    </row>
    <row r="124" ht="14.25" customHeight="1" s="46">
      <c r="A124" s="2" t="n"/>
      <c r="B124" s="2" t="n"/>
      <c r="C124" s="2" t="n"/>
      <c r="D124" s="2" t="n"/>
      <c r="E124" s="2" t="n"/>
      <c r="F124" s="2" t="n"/>
      <c r="G124" s="2" t="n"/>
    </row>
    <row r="125" ht="14.25" customHeight="1" s="46">
      <c r="A125" s="2" t="n"/>
      <c r="B125" s="2" t="n"/>
      <c r="C125" s="2" t="n"/>
      <c r="D125" s="2" t="n"/>
      <c r="E125" s="2" t="n"/>
      <c r="F125" s="2" t="n"/>
      <c r="G125" s="2" t="n"/>
    </row>
    <row r="126" ht="14.25" customHeight="1" s="46">
      <c r="A126" s="2" t="n"/>
      <c r="B126" s="2" t="n"/>
      <c r="C126" s="2" t="n"/>
      <c r="D126" s="2" t="n"/>
      <c r="E126" s="2" t="n"/>
      <c r="F126" s="2" t="n"/>
      <c r="G126" s="2" t="n"/>
    </row>
    <row r="127" ht="14.25" customHeight="1" s="46">
      <c r="A127" s="2" t="n"/>
      <c r="B127" s="2" t="n"/>
      <c r="C127" s="2" t="n"/>
      <c r="D127" s="2" t="n"/>
      <c r="E127" s="2" t="n"/>
      <c r="F127" s="2" t="n"/>
      <c r="G127" s="2" t="n"/>
    </row>
    <row r="128" ht="14.25" customHeight="1" s="46">
      <c r="A128" s="2" t="n"/>
      <c r="B128" s="2" t="n"/>
      <c r="C128" s="2" t="n"/>
      <c r="D128" s="2" t="n"/>
      <c r="E128" s="2" t="n"/>
      <c r="F128" s="2" t="n"/>
      <c r="G128" s="2" t="n"/>
    </row>
    <row r="129" ht="14.25" customHeight="1" s="46">
      <c r="A129" s="2" t="n"/>
      <c r="B129" s="2" t="n"/>
      <c r="C129" s="2" t="n"/>
      <c r="D129" s="2" t="n"/>
      <c r="E129" s="2" t="n"/>
      <c r="F129" s="2" t="n"/>
      <c r="G129" s="2" t="n"/>
    </row>
    <row r="130" ht="14.25" customHeight="1" s="46">
      <c r="A130" s="2" t="n"/>
      <c r="B130" s="2" t="n"/>
      <c r="C130" s="2" t="n"/>
      <c r="D130" s="2" t="n"/>
      <c r="E130" s="2" t="n"/>
      <c r="F130" s="2" t="n"/>
      <c r="G130" s="2" t="n"/>
    </row>
    <row r="131" ht="14.25" customHeight="1" s="46">
      <c r="A131" s="2" t="n"/>
      <c r="B131" s="2" t="n"/>
      <c r="C131" s="2" t="n"/>
      <c r="D131" s="2" t="n"/>
      <c r="E131" s="2" t="n"/>
      <c r="F131" s="2" t="n"/>
      <c r="G131" s="2" t="n"/>
    </row>
    <row r="132" ht="14.25" customHeight="1" s="46">
      <c r="A132" s="2" t="n"/>
      <c r="B132" s="2" t="n"/>
      <c r="C132" s="2" t="n"/>
      <c r="D132" s="2" t="n"/>
      <c r="E132" s="2" t="n"/>
      <c r="F132" s="2" t="n"/>
      <c r="G132" s="2" t="n"/>
    </row>
    <row r="133" ht="14.25" customHeight="1" s="46">
      <c r="A133" s="2" t="n"/>
      <c r="B133" s="2" t="n"/>
      <c r="C133" s="2" t="n"/>
      <c r="D133" s="2" t="n"/>
      <c r="E133" s="2" t="n"/>
      <c r="F133" s="2" t="n"/>
      <c r="G133" s="2" t="n"/>
    </row>
    <row r="134" ht="14.25" customHeight="1" s="46">
      <c r="A134" s="2" t="n"/>
      <c r="B134" s="2" t="n"/>
      <c r="C134" s="2" t="n"/>
      <c r="D134" s="2" t="n"/>
      <c r="E134" s="2" t="n"/>
      <c r="F134" s="2" t="n"/>
      <c r="G134" s="2" t="n"/>
    </row>
    <row r="135" ht="14.25" customHeight="1" s="46">
      <c r="A135" s="2" t="n"/>
      <c r="B135" s="2" t="n"/>
      <c r="C135" s="2" t="n"/>
      <c r="D135" s="2" t="n"/>
      <c r="E135" s="2" t="n"/>
      <c r="F135" s="2" t="n"/>
      <c r="G135" s="2" t="n"/>
    </row>
    <row r="136" ht="14.25" customHeight="1" s="46">
      <c r="A136" s="2" t="n"/>
      <c r="B136" s="2" t="n"/>
      <c r="C136" s="2" t="n"/>
      <c r="D136" s="2" t="n"/>
      <c r="E136" s="2" t="n"/>
      <c r="F136" s="2" t="n"/>
      <c r="G136" s="2" t="n"/>
    </row>
    <row r="137" ht="14.25" customHeight="1" s="46">
      <c r="A137" s="2" t="n"/>
      <c r="B137" s="2" t="n"/>
      <c r="C137" s="2" t="n"/>
      <c r="D137" s="2" t="n"/>
      <c r="E137" s="2" t="n"/>
      <c r="F137" s="2" t="n"/>
      <c r="G137" s="2" t="n"/>
    </row>
    <row r="138" ht="14.25" customHeight="1" s="46">
      <c r="A138" s="2" t="n"/>
      <c r="B138" s="2" t="n"/>
      <c r="C138" s="2" t="n"/>
      <c r="D138" s="2" t="n"/>
      <c r="E138" s="2" t="n"/>
      <c r="F138" s="2" t="n"/>
      <c r="G138" s="2" t="n"/>
    </row>
    <row r="139" ht="14.25" customHeight="1" s="46">
      <c r="A139" s="2" t="n"/>
      <c r="B139" s="2" t="n"/>
      <c r="C139" s="2" t="n"/>
      <c r="D139" s="2" t="n"/>
      <c r="E139" s="2" t="n"/>
      <c r="F139" s="2" t="n"/>
      <c r="G139" s="2" t="n"/>
    </row>
    <row r="140" ht="14.25" customHeight="1" s="46">
      <c r="A140" s="2" t="n"/>
      <c r="B140" s="2" t="n"/>
      <c r="C140" s="2" t="n"/>
      <c r="D140" s="2" t="n"/>
      <c r="E140" s="2" t="n"/>
      <c r="F140" s="2" t="n"/>
      <c r="G140" s="2" t="n"/>
    </row>
    <row r="141" ht="14.25" customHeight="1" s="46">
      <c r="A141" s="2" t="n"/>
      <c r="B141" s="2" t="n"/>
      <c r="C141" s="2" t="n"/>
      <c r="D141" s="2" t="n"/>
      <c r="E141" s="2" t="n"/>
      <c r="F141" s="2" t="n"/>
      <c r="G141" s="2" t="n"/>
    </row>
    <row r="142" ht="14.25" customHeight="1" s="46">
      <c r="A142" s="2" t="n"/>
      <c r="B142" s="2" t="n"/>
      <c r="C142" s="2" t="n"/>
      <c r="D142" s="2" t="n"/>
      <c r="E142" s="2" t="n"/>
      <c r="F142" s="2" t="n"/>
      <c r="G142" s="2" t="n"/>
    </row>
    <row r="143" ht="14.25" customHeight="1" s="46">
      <c r="A143" s="2" t="n"/>
      <c r="B143" s="2" t="n"/>
      <c r="C143" s="2" t="n"/>
      <c r="D143" s="2" t="n"/>
      <c r="E143" s="2" t="n"/>
      <c r="F143" s="2" t="n"/>
      <c r="G143" s="2" t="n"/>
    </row>
    <row r="144" ht="14.25" customHeight="1" s="46">
      <c r="A144" s="2" t="n"/>
      <c r="B144" s="2" t="n"/>
      <c r="C144" s="2" t="n"/>
      <c r="D144" s="2" t="n"/>
      <c r="E144" s="2" t="n"/>
      <c r="F144" s="2" t="n"/>
      <c r="G144" s="2" t="n"/>
    </row>
    <row r="145" ht="14.25" customHeight="1" s="46">
      <c r="A145" s="2" t="n"/>
      <c r="B145" s="2" t="n"/>
      <c r="C145" s="2" t="n"/>
      <c r="D145" s="2" t="n"/>
      <c r="E145" s="2" t="n"/>
      <c r="F145" s="2" t="n"/>
      <c r="G145" s="2" t="n"/>
    </row>
    <row r="146" ht="14.25" customHeight="1" s="46">
      <c r="A146" s="2" t="n"/>
      <c r="B146" s="2" t="n"/>
      <c r="C146" s="2" t="n"/>
      <c r="D146" s="2" t="n"/>
      <c r="E146" s="2" t="n"/>
      <c r="F146" s="2" t="n"/>
      <c r="G146" s="2" t="n"/>
    </row>
    <row r="147" ht="14.25" customHeight="1" s="46">
      <c r="A147" s="2" t="n"/>
      <c r="B147" s="2" t="n"/>
      <c r="C147" s="2" t="n"/>
      <c r="D147" s="2" t="n"/>
      <c r="E147" s="2" t="n"/>
      <c r="F147" s="2" t="n"/>
      <c r="G147" s="2" t="n"/>
    </row>
    <row r="148" ht="14.25" customHeight="1" s="46">
      <c r="A148" s="2" t="n"/>
      <c r="B148" s="2" t="n"/>
      <c r="C148" s="2" t="n"/>
      <c r="D148" s="2" t="n"/>
      <c r="E148" s="2" t="n"/>
      <c r="F148" s="2" t="n"/>
      <c r="G148" s="2" t="n"/>
    </row>
    <row r="149" ht="14.25" customHeight="1" s="46">
      <c r="A149" s="2" t="n"/>
      <c r="B149" s="2" t="n"/>
      <c r="C149" s="2" t="n"/>
      <c r="D149" s="2" t="n"/>
      <c r="E149" s="2" t="n"/>
      <c r="F149" s="2" t="n"/>
      <c r="G149" s="2" t="n"/>
    </row>
    <row r="150" ht="14.25" customHeight="1" s="46">
      <c r="A150" s="2" t="n"/>
      <c r="B150" s="2" t="n"/>
      <c r="C150" s="2" t="n"/>
      <c r="D150" s="2" t="n"/>
      <c r="E150" s="2" t="n"/>
      <c r="F150" s="2" t="n"/>
      <c r="G150" s="2" t="n"/>
    </row>
    <row r="151" ht="14.25" customHeight="1" s="46">
      <c r="A151" s="2" t="n"/>
      <c r="B151" s="2" t="n"/>
      <c r="C151" s="2" t="n"/>
      <c r="D151" s="2" t="n"/>
      <c r="E151" s="2" t="n"/>
      <c r="F151" s="2" t="n"/>
      <c r="G151" s="2" t="n"/>
    </row>
    <row r="152" ht="14.25" customHeight="1" s="46">
      <c r="A152" s="2" t="n"/>
      <c r="B152" s="2" t="n"/>
      <c r="C152" s="2" t="n"/>
      <c r="D152" s="2" t="n"/>
      <c r="E152" s="2" t="n"/>
      <c r="F152" s="2" t="n"/>
      <c r="G152" s="2" t="n"/>
    </row>
    <row r="153" ht="14.25" customHeight="1" s="46">
      <c r="A153" s="2" t="n"/>
      <c r="B153" s="2" t="n"/>
      <c r="C153" s="2" t="n"/>
      <c r="D153" s="2" t="n"/>
      <c r="E153" s="2" t="n"/>
      <c r="F153" s="2" t="n"/>
      <c r="G153" s="2" t="n"/>
    </row>
    <row r="154" ht="14.25" customHeight="1" s="46">
      <c r="A154" s="2" t="n"/>
      <c r="B154" s="2" t="n"/>
      <c r="C154" s="2" t="n"/>
      <c r="D154" s="2" t="n"/>
      <c r="E154" s="2" t="n"/>
      <c r="F154" s="2" t="n"/>
      <c r="G154" s="2" t="n"/>
    </row>
    <row r="155" ht="14.25" customHeight="1" s="46">
      <c r="A155" s="2" t="n"/>
      <c r="B155" s="2" t="n"/>
      <c r="C155" s="2" t="n"/>
      <c r="D155" s="2" t="n"/>
      <c r="E155" s="2" t="n"/>
      <c r="F155" s="2" t="n"/>
      <c r="G155" s="2" t="n"/>
    </row>
    <row r="156" ht="14.25" customHeight="1" s="46">
      <c r="A156" s="2" t="n"/>
      <c r="B156" s="2" t="n"/>
      <c r="C156" s="2" t="n"/>
      <c r="D156" s="2" t="n"/>
      <c r="E156" s="2" t="n"/>
      <c r="F156" s="2" t="n"/>
      <c r="G156" s="2" t="n"/>
    </row>
    <row r="157" ht="14.25" customHeight="1" s="46">
      <c r="A157" s="2" t="n"/>
      <c r="B157" s="2" t="n"/>
      <c r="C157" s="2" t="n"/>
      <c r="D157" s="2" t="n"/>
      <c r="E157" s="2" t="n"/>
      <c r="F157" s="2" t="n"/>
      <c r="G157" s="2" t="n"/>
    </row>
    <row r="158" ht="14.25" customHeight="1" s="46">
      <c r="A158" s="2" t="n"/>
      <c r="B158" s="2" t="n"/>
      <c r="C158" s="2" t="n"/>
      <c r="D158" s="2" t="n"/>
      <c r="E158" s="2" t="n"/>
      <c r="F158" s="2" t="n"/>
      <c r="G158" s="2" t="n"/>
    </row>
    <row r="159" ht="14.25" customHeight="1" s="46">
      <c r="A159" s="2" t="n"/>
      <c r="B159" s="2" t="n"/>
      <c r="C159" s="2" t="n"/>
      <c r="D159" s="2" t="n"/>
      <c r="E159" s="2" t="n"/>
      <c r="F159" s="2" t="n"/>
      <c r="G159" s="2" t="n"/>
    </row>
    <row r="160" ht="14.25" customHeight="1" s="46">
      <c r="A160" s="2" t="n"/>
      <c r="B160" s="2" t="n"/>
      <c r="C160" s="2" t="n"/>
      <c r="D160" s="2" t="n"/>
      <c r="E160" s="2" t="n"/>
      <c r="F160" s="2" t="n"/>
      <c r="G160" s="2" t="n"/>
    </row>
    <row r="161" ht="14.25" customHeight="1" s="46">
      <c r="A161" s="2" t="n"/>
      <c r="B161" s="2" t="n"/>
      <c r="C161" s="2" t="n"/>
      <c r="D161" s="2" t="n"/>
      <c r="E161" s="2" t="n"/>
      <c r="F161" s="2" t="n"/>
      <c r="G161" s="2" t="n"/>
    </row>
    <row r="162" ht="14.25" customHeight="1" s="46">
      <c r="A162" s="2" t="n"/>
      <c r="B162" s="2" t="n"/>
      <c r="C162" s="2" t="n"/>
      <c r="D162" s="2" t="n"/>
      <c r="E162" s="2" t="n"/>
      <c r="F162" s="2" t="n"/>
      <c r="G162" s="2" t="n"/>
    </row>
    <row r="163" ht="14.25" customHeight="1" s="46">
      <c r="A163" s="2" t="n"/>
      <c r="B163" s="2" t="n"/>
      <c r="C163" s="2" t="n"/>
      <c r="D163" s="2" t="n"/>
      <c r="E163" s="2" t="n"/>
      <c r="F163" s="2" t="n"/>
      <c r="G163" s="2" t="n"/>
    </row>
    <row r="164" ht="14.25" customHeight="1" s="46">
      <c r="A164" s="2" t="n"/>
      <c r="B164" s="2" t="n"/>
      <c r="C164" s="2" t="n"/>
      <c r="D164" s="2" t="n"/>
      <c r="E164" s="2" t="n"/>
      <c r="F164" s="2" t="n"/>
      <c r="G164" s="2" t="n"/>
    </row>
    <row r="165" ht="14.25" customHeight="1" s="46">
      <c r="A165" s="2" t="n"/>
      <c r="B165" s="2" t="n"/>
      <c r="C165" s="2" t="n"/>
      <c r="D165" s="2" t="n"/>
      <c r="E165" s="2" t="n"/>
      <c r="F165" s="2" t="n"/>
      <c r="G165" s="2" t="n"/>
    </row>
    <row r="166" ht="14.25" customHeight="1" s="46">
      <c r="A166" s="2" t="n"/>
      <c r="B166" s="2" t="n"/>
      <c r="C166" s="2" t="n"/>
      <c r="D166" s="2" t="n"/>
      <c r="E166" s="2" t="n"/>
      <c r="F166" s="2" t="n"/>
      <c r="G166" s="2" t="n"/>
    </row>
    <row r="167" ht="14.25" customHeight="1" s="46">
      <c r="A167" s="2" t="n"/>
      <c r="B167" s="2" t="n"/>
      <c r="C167" s="2" t="n"/>
      <c r="D167" s="2" t="n"/>
      <c r="E167" s="2" t="n"/>
      <c r="F167" s="2" t="n"/>
      <c r="G167" s="2" t="n"/>
    </row>
    <row r="168" ht="14.25" customHeight="1" s="46">
      <c r="A168" s="2" t="n"/>
      <c r="B168" s="2" t="n"/>
      <c r="C168" s="2" t="n"/>
      <c r="D168" s="2" t="n"/>
      <c r="E168" s="2" t="n"/>
      <c r="F168" s="2" t="n"/>
      <c r="G168" s="2" t="n"/>
    </row>
    <row r="169" ht="14.25" customHeight="1" s="46">
      <c r="A169" s="2" t="n"/>
      <c r="B169" s="2" t="n"/>
      <c r="C169" s="2" t="n"/>
      <c r="D169" s="2" t="n"/>
      <c r="E169" s="2" t="n"/>
      <c r="F169" s="2" t="n"/>
      <c r="G169" s="2" t="n"/>
    </row>
    <row r="170" ht="14.25" customHeight="1" s="46">
      <c r="A170" s="2" t="n"/>
      <c r="B170" s="2" t="n"/>
      <c r="C170" s="2" t="n"/>
      <c r="D170" s="2" t="n"/>
      <c r="E170" s="2" t="n"/>
      <c r="F170" s="2" t="n"/>
      <c r="G170" s="2" t="n"/>
    </row>
    <row r="171" ht="14.25" customHeight="1" s="46">
      <c r="A171" s="2" t="n"/>
      <c r="B171" s="2" t="n"/>
      <c r="C171" s="2" t="n"/>
      <c r="D171" s="2" t="n"/>
      <c r="E171" s="2" t="n"/>
      <c r="F171" s="2" t="n"/>
      <c r="G171" s="2" t="n"/>
    </row>
    <row r="172" ht="14.25" customHeight="1" s="46">
      <c r="A172" s="2" t="n"/>
      <c r="B172" s="2" t="n"/>
      <c r="C172" s="2" t="n"/>
      <c r="D172" s="2" t="n"/>
      <c r="E172" s="2" t="n"/>
      <c r="F172" s="2" t="n"/>
      <c r="G172" s="2" t="n"/>
    </row>
    <row r="173" ht="14.25" customHeight="1" s="46">
      <c r="A173" s="2" t="n"/>
      <c r="B173" s="2" t="n"/>
      <c r="C173" s="2" t="n"/>
      <c r="D173" s="2" t="n"/>
      <c r="E173" s="2" t="n"/>
      <c r="F173" s="2" t="n"/>
      <c r="G173" s="2" t="n"/>
    </row>
    <row r="174" ht="14.25" customHeight="1" s="46">
      <c r="A174" s="2" t="n"/>
      <c r="B174" s="2" t="n"/>
      <c r="C174" s="2" t="n"/>
      <c r="D174" s="2" t="n"/>
      <c r="E174" s="2" t="n"/>
      <c r="F174" s="2" t="n"/>
      <c r="G174" s="2" t="n"/>
    </row>
    <row r="175" ht="14.25" customHeight="1" s="46">
      <c r="A175" s="2" t="n"/>
      <c r="B175" s="2" t="n"/>
      <c r="C175" s="2" t="n"/>
      <c r="D175" s="2" t="n"/>
      <c r="E175" s="2" t="n"/>
      <c r="F175" s="2" t="n"/>
      <c r="G175" s="2" t="n"/>
    </row>
    <row r="176" ht="14.25" customHeight="1" s="46">
      <c r="A176" s="2" t="n"/>
      <c r="B176" s="2" t="n"/>
      <c r="C176" s="2" t="n"/>
      <c r="D176" s="2" t="n"/>
      <c r="E176" s="2" t="n"/>
      <c r="F176" s="2" t="n"/>
      <c r="G176" s="2" t="n"/>
    </row>
    <row r="177" ht="14.25" customHeight="1" s="46">
      <c r="A177" s="2" t="n"/>
      <c r="B177" s="2" t="n"/>
      <c r="C177" s="2" t="n"/>
      <c r="D177" s="2" t="n"/>
      <c r="E177" s="2" t="n"/>
      <c r="F177" s="2" t="n"/>
      <c r="G177" s="2" t="n"/>
    </row>
    <row r="178" ht="14.25" customHeight="1" s="46">
      <c r="A178" s="2" t="n"/>
      <c r="B178" s="2" t="n"/>
      <c r="C178" s="2" t="n"/>
      <c r="D178" s="2" t="n"/>
      <c r="E178" s="2" t="n"/>
      <c r="F178" s="2" t="n"/>
      <c r="G178" s="2" t="n"/>
    </row>
    <row r="179" ht="14.25" customHeight="1" s="46">
      <c r="A179" s="2" t="n"/>
      <c r="B179" s="2" t="n"/>
      <c r="C179" s="2" t="n"/>
      <c r="D179" s="2" t="n"/>
      <c r="E179" s="2" t="n"/>
      <c r="F179" s="2" t="n"/>
      <c r="G179" s="2" t="n"/>
    </row>
    <row r="180" ht="14.25" customHeight="1" s="46">
      <c r="A180" s="2" t="n"/>
      <c r="B180" s="2" t="n"/>
      <c r="C180" s="2" t="n"/>
      <c r="D180" s="2" t="n"/>
      <c r="E180" s="2" t="n"/>
      <c r="F180" s="2" t="n"/>
      <c r="G180" s="2" t="n"/>
    </row>
    <row r="181" ht="14.25" customHeight="1" s="46">
      <c r="A181" s="2" t="n"/>
      <c r="B181" s="2" t="n"/>
      <c r="C181" s="2" t="n"/>
      <c r="D181" s="2" t="n"/>
      <c r="E181" s="2" t="n"/>
      <c r="F181" s="2" t="n"/>
      <c r="G181" s="2" t="n"/>
    </row>
    <row r="182" ht="14.25" customHeight="1" s="46">
      <c r="A182" s="2" t="n"/>
      <c r="B182" s="2" t="n"/>
      <c r="C182" s="2" t="n"/>
      <c r="D182" s="2" t="n"/>
      <c r="E182" s="2" t="n"/>
      <c r="F182" s="2" t="n"/>
      <c r="G182" s="2" t="n"/>
    </row>
    <row r="183" ht="14.25" customHeight="1" s="46">
      <c r="A183" s="2" t="n"/>
      <c r="B183" s="2" t="n"/>
      <c r="C183" s="2" t="n"/>
      <c r="D183" s="2" t="n"/>
      <c r="E183" s="2" t="n"/>
      <c r="F183" s="2" t="n"/>
      <c r="G183" s="2" t="n"/>
    </row>
    <row r="184" ht="14.25" customHeight="1" s="46">
      <c r="A184" s="2" t="n"/>
      <c r="B184" s="2" t="n"/>
      <c r="C184" s="2" t="n"/>
      <c r="D184" s="2" t="n"/>
      <c r="E184" s="2" t="n"/>
      <c r="F184" s="2" t="n"/>
      <c r="G184" s="2" t="n"/>
    </row>
    <row r="185" ht="14.25" customHeight="1" s="46">
      <c r="A185" s="2" t="n"/>
      <c r="B185" s="2" t="n"/>
      <c r="C185" s="2" t="n"/>
      <c r="D185" s="2" t="n"/>
      <c r="E185" s="2" t="n"/>
      <c r="F185" s="2" t="n"/>
      <c r="G185" s="2" t="n"/>
    </row>
    <row r="186" ht="14.25" customHeight="1" s="46">
      <c r="A186" s="2" t="n"/>
      <c r="B186" s="2" t="n"/>
      <c r="C186" s="2" t="n"/>
      <c r="D186" s="2" t="n"/>
      <c r="E186" s="2" t="n"/>
      <c r="F186" s="2" t="n"/>
      <c r="G186" s="2" t="n"/>
    </row>
    <row r="187" ht="14.25" customHeight="1" s="46">
      <c r="A187" s="2" t="n"/>
      <c r="B187" s="2" t="n"/>
      <c r="C187" s="2" t="n"/>
      <c r="D187" s="2" t="n"/>
      <c r="E187" s="2" t="n"/>
      <c r="F187" s="2" t="n"/>
      <c r="G187" s="2" t="n"/>
    </row>
    <row r="188" ht="14.25" customHeight="1" s="46">
      <c r="A188" s="2" t="n"/>
      <c r="B188" s="2" t="n"/>
      <c r="C188" s="2" t="n"/>
      <c r="D188" s="2" t="n"/>
      <c r="E188" s="2" t="n"/>
      <c r="F188" s="2" t="n"/>
      <c r="G188" s="2" t="n"/>
    </row>
    <row r="189" ht="14.25" customHeight="1" s="46">
      <c r="A189" s="2" t="n"/>
      <c r="B189" s="2" t="n"/>
      <c r="C189" s="2" t="n"/>
      <c r="D189" s="2" t="n"/>
      <c r="E189" s="2" t="n"/>
      <c r="F189" s="2" t="n"/>
      <c r="G189" s="2" t="n"/>
    </row>
    <row r="190" ht="14.25" customHeight="1" s="46">
      <c r="A190" s="2" t="n"/>
      <c r="B190" s="2" t="n"/>
      <c r="C190" s="2" t="n"/>
      <c r="D190" s="2" t="n"/>
      <c r="E190" s="2" t="n"/>
      <c r="F190" s="2" t="n"/>
      <c r="G190" s="2" t="n"/>
    </row>
    <row r="191" ht="14.25" customHeight="1" s="46">
      <c r="A191" s="2" t="n"/>
      <c r="B191" s="2" t="n"/>
      <c r="C191" s="2" t="n"/>
      <c r="D191" s="2" t="n"/>
      <c r="E191" s="2" t="n"/>
      <c r="F191" s="2" t="n"/>
      <c r="G191" s="2" t="n"/>
    </row>
    <row r="192" ht="14.25" customHeight="1" s="46">
      <c r="A192" s="2" t="n"/>
      <c r="B192" s="2" t="n"/>
      <c r="C192" s="2" t="n"/>
      <c r="D192" s="2" t="n"/>
      <c r="E192" s="2" t="n"/>
      <c r="F192" s="2" t="n"/>
      <c r="G192" s="2" t="n"/>
    </row>
    <row r="193" ht="14.25" customHeight="1" s="46">
      <c r="A193" s="2" t="n"/>
      <c r="B193" s="2" t="n"/>
      <c r="C193" s="2" t="n"/>
      <c r="D193" s="2" t="n"/>
      <c r="E193" s="2" t="n"/>
      <c r="F193" s="2" t="n"/>
      <c r="G193" s="2" t="n"/>
    </row>
    <row r="194" ht="14.25" customHeight="1" s="46">
      <c r="A194" s="2" t="n"/>
      <c r="B194" s="2" t="n"/>
      <c r="C194" s="2" t="n"/>
      <c r="D194" s="2" t="n"/>
      <c r="E194" s="2" t="n"/>
      <c r="F194" s="2" t="n"/>
      <c r="G194" s="2" t="n"/>
    </row>
    <row r="195" ht="14.25" customHeight="1" s="46">
      <c r="A195" s="2" t="n"/>
      <c r="B195" s="2" t="n"/>
      <c r="C195" s="2" t="n"/>
      <c r="D195" s="2" t="n"/>
      <c r="E195" s="2" t="n"/>
      <c r="F195" s="2" t="n"/>
      <c r="G195" s="2" t="n"/>
    </row>
    <row r="196" ht="14.25" customHeight="1" s="46">
      <c r="A196" s="2" t="n"/>
      <c r="B196" s="2" t="n"/>
      <c r="C196" s="2" t="n"/>
      <c r="D196" s="2" t="n"/>
      <c r="E196" s="2" t="n"/>
      <c r="F196" s="2" t="n"/>
      <c r="G196" s="2" t="n"/>
    </row>
    <row r="197" ht="14.25" customHeight="1" s="46">
      <c r="A197" s="2" t="n"/>
      <c r="B197" s="2" t="n"/>
      <c r="C197" s="2" t="n"/>
      <c r="D197" s="2" t="n"/>
      <c r="E197" s="2" t="n"/>
      <c r="F197" s="2" t="n"/>
      <c r="G197" s="2" t="n"/>
    </row>
    <row r="198" ht="14.25" customHeight="1" s="46">
      <c r="A198" s="2" t="n"/>
      <c r="B198" s="2" t="n"/>
      <c r="C198" s="2" t="n"/>
      <c r="D198" s="2" t="n"/>
      <c r="E198" s="2" t="n"/>
      <c r="F198" s="2" t="n"/>
      <c r="G198" s="2" t="n"/>
    </row>
    <row r="199" ht="14.25" customHeight="1" s="46">
      <c r="A199" s="2" t="n"/>
      <c r="B199" s="2" t="n"/>
      <c r="C199" s="2" t="n"/>
      <c r="D199" s="2" t="n"/>
      <c r="E199" s="2" t="n"/>
      <c r="F199" s="2" t="n"/>
      <c r="G199" s="2" t="n"/>
    </row>
    <row r="200" ht="14.25" customHeight="1" s="46">
      <c r="A200" s="2" t="n"/>
      <c r="B200" s="2" t="n"/>
      <c r="C200" s="2" t="n"/>
      <c r="D200" s="2" t="n"/>
      <c r="E200" s="2" t="n"/>
      <c r="F200" s="2" t="n"/>
      <c r="G200" s="2" t="n"/>
    </row>
    <row r="201" ht="14.25" customHeight="1" s="46">
      <c r="A201" s="2" t="n"/>
      <c r="B201" s="2" t="n"/>
      <c r="C201" s="2" t="n"/>
      <c r="D201" s="2" t="n"/>
      <c r="E201" s="2" t="n"/>
      <c r="F201" s="2" t="n"/>
      <c r="G201" s="2" t="n"/>
    </row>
    <row r="202" ht="14.25" customHeight="1" s="46">
      <c r="A202" s="2" t="n"/>
      <c r="B202" s="2" t="n"/>
      <c r="C202" s="2" t="n"/>
      <c r="D202" s="2" t="n"/>
      <c r="E202" s="2" t="n"/>
      <c r="F202" s="2" t="n"/>
      <c r="G202" s="2" t="n"/>
    </row>
    <row r="203" ht="14.25" customHeight="1" s="46">
      <c r="A203" s="2" t="n"/>
      <c r="B203" s="2" t="n"/>
      <c r="C203" s="2" t="n"/>
      <c r="D203" s="2" t="n"/>
      <c r="E203" s="2" t="n"/>
      <c r="F203" s="2" t="n"/>
      <c r="G203" s="2" t="n"/>
    </row>
    <row r="204" ht="14.25" customHeight="1" s="46">
      <c r="A204" s="2" t="n"/>
      <c r="B204" s="2" t="n"/>
      <c r="C204" s="2" t="n"/>
      <c r="D204" s="2" t="n"/>
      <c r="E204" s="2" t="n"/>
      <c r="F204" s="2" t="n"/>
      <c r="G204" s="2" t="n"/>
    </row>
    <row r="205" ht="14.25" customHeight="1" s="46">
      <c r="A205" s="2" t="n"/>
      <c r="B205" s="2" t="n"/>
      <c r="C205" s="2" t="n"/>
      <c r="D205" s="2" t="n"/>
      <c r="E205" s="2" t="n"/>
      <c r="F205" s="2" t="n"/>
      <c r="G205" s="2" t="n"/>
    </row>
    <row r="206" ht="14.25" customHeight="1" s="46">
      <c r="A206" s="2" t="n"/>
      <c r="B206" s="2" t="n"/>
      <c r="C206" s="2" t="n"/>
      <c r="D206" s="2" t="n"/>
      <c r="E206" s="2" t="n"/>
      <c r="F206" s="2" t="n"/>
      <c r="G206" s="2" t="n"/>
    </row>
    <row r="207" ht="14.25" customHeight="1" s="46">
      <c r="A207" s="2" t="n"/>
      <c r="B207" s="2" t="n"/>
      <c r="C207" s="2" t="n"/>
      <c r="D207" s="2" t="n"/>
      <c r="E207" s="2" t="n"/>
      <c r="F207" s="2" t="n"/>
      <c r="G207" s="2" t="n"/>
    </row>
    <row r="208" ht="14.25" customHeight="1" s="46">
      <c r="A208" s="2" t="n"/>
      <c r="B208" s="2" t="n"/>
      <c r="C208" s="2" t="n"/>
      <c r="D208" s="2" t="n"/>
      <c r="E208" s="2" t="n"/>
      <c r="F208" s="2" t="n"/>
      <c r="G208" s="2" t="n"/>
    </row>
    <row r="209" ht="14.25" customHeight="1" s="46">
      <c r="A209" s="2" t="n"/>
      <c r="B209" s="2" t="n"/>
      <c r="C209" s="2" t="n"/>
      <c r="D209" s="2" t="n"/>
      <c r="E209" s="2" t="n"/>
      <c r="F209" s="2" t="n"/>
      <c r="G209" s="2" t="n"/>
    </row>
    <row r="210" ht="14.25" customHeight="1" s="46">
      <c r="A210" s="2" t="n"/>
      <c r="B210" s="2" t="n"/>
      <c r="C210" s="2" t="n"/>
      <c r="D210" s="2" t="n"/>
      <c r="E210" s="2" t="n"/>
      <c r="F210" s="2" t="n"/>
      <c r="G210" s="2" t="n"/>
    </row>
    <row r="211" ht="14.25" customHeight="1" s="46">
      <c r="A211" s="2" t="n"/>
      <c r="B211" s="2" t="n"/>
      <c r="C211" s="2" t="n"/>
      <c r="D211" s="2" t="n"/>
      <c r="E211" s="2" t="n"/>
      <c r="F211" s="2" t="n"/>
      <c r="G211" s="2" t="n"/>
    </row>
    <row r="212" ht="14.25" customHeight="1" s="46">
      <c r="A212" s="2" t="n"/>
      <c r="B212" s="2" t="n"/>
      <c r="C212" s="2" t="n"/>
      <c r="D212" s="2" t="n"/>
      <c r="E212" s="2" t="n"/>
      <c r="F212" s="2" t="n"/>
      <c r="G212" s="2" t="n"/>
    </row>
    <row r="213" ht="14.25" customHeight="1" s="46">
      <c r="A213" s="2" t="n"/>
      <c r="B213" s="2" t="n"/>
      <c r="C213" s="2" t="n"/>
      <c r="D213" s="2" t="n"/>
      <c r="E213" s="2" t="n"/>
      <c r="F213" s="2" t="n"/>
      <c r="G213" s="2" t="n"/>
    </row>
    <row r="214" ht="14.25" customHeight="1" s="46">
      <c r="A214" s="2" t="n"/>
      <c r="B214" s="2" t="n"/>
      <c r="C214" s="2" t="n"/>
      <c r="D214" s="2" t="n"/>
      <c r="E214" s="2" t="n"/>
      <c r="F214" s="2" t="n"/>
      <c r="G214" s="2" t="n"/>
    </row>
    <row r="215" ht="14.25" customHeight="1" s="46">
      <c r="A215" s="2" t="n"/>
      <c r="B215" s="2" t="n"/>
      <c r="C215" s="2" t="n"/>
      <c r="D215" s="2" t="n"/>
      <c r="E215" s="2" t="n"/>
      <c r="F215" s="2" t="n"/>
      <c r="G215" s="2" t="n"/>
    </row>
    <row r="216" ht="14.25" customHeight="1" s="46">
      <c r="A216" s="2" t="n"/>
      <c r="B216" s="2" t="n"/>
      <c r="C216" s="2" t="n"/>
      <c r="D216" s="2" t="n"/>
      <c r="E216" s="2" t="n"/>
      <c r="F216" s="2" t="n"/>
      <c r="G216" s="2" t="n"/>
    </row>
    <row r="217" ht="14.25" customHeight="1" s="46">
      <c r="A217" s="2" t="n"/>
      <c r="B217" s="2" t="n"/>
      <c r="C217" s="2" t="n"/>
      <c r="D217" s="2" t="n"/>
      <c r="E217" s="2" t="n"/>
      <c r="F217" s="2" t="n"/>
      <c r="G217" s="2" t="n"/>
    </row>
    <row r="218" ht="14.25" customHeight="1" s="46">
      <c r="A218" s="2" t="n"/>
      <c r="B218" s="2" t="n"/>
      <c r="C218" s="2" t="n"/>
      <c r="D218" s="2" t="n"/>
      <c r="E218" s="2" t="n"/>
      <c r="F218" s="2" t="n"/>
      <c r="G218" s="2" t="n"/>
    </row>
    <row r="219" ht="14.25" customHeight="1" s="46">
      <c r="A219" s="2" t="n"/>
      <c r="B219" s="2" t="n"/>
      <c r="C219" s="2" t="n"/>
      <c r="D219" s="2" t="n"/>
      <c r="E219" s="2" t="n"/>
      <c r="F219" s="2" t="n"/>
      <c r="G219" s="2" t="n"/>
    </row>
    <row r="220" ht="14.25" customHeight="1" s="46">
      <c r="A220" s="2" t="n"/>
      <c r="B220" s="2" t="n"/>
      <c r="C220" s="2" t="n"/>
      <c r="D220" s="2" t="n"/>
      <c r="E220" s="2" t="n"/>
      <c r="F220" s="2" t="n"/>
      <c r="G220" s="2" t="n"/>
    </row>
    <row r="221" ht="14.25" customHeight="1" s="46">
      <c r="A221" s="2" t="n"/>
      <c r="B221" s="2" t="n"/>
      <c r="C221" s="2" t="n"/>
      <c r="D221" s="2" t="n"/>
      <c r="E221" s="2" t="n"/>
      <c r="F221" s="2" t="n"/>
      <c r="G221" s="2" t="n"/>
    </row>
    <row r="222" ht="14.25" customHeight="1" s="46">
      <c r="A222" s="2" t="n"/>
      <c r="B222" s="2" t="n"/>
      <c r="C222" s="2" t="n"/>
      <c r="D222" s="2" t="n"/>
      <c r="E222" s="2" t="n"/>
      <c r="F222" s="2" t="n"/>
      <c r="G222" s="2" t="n"/>
    </row>
    <row r="223" ht="14.25" customHeight="1" s="46">
      <c r="A223" s="2" t="n"/>
      <c r="B223" s="2" t="n"/>
      <c r="C223" s="2" t="n"/>
      <c r="D223" s="2" t="n"/>
      <c r="E223" s="2" t="n"/>
      <c r="F223" s="2" t="n"/>
      <c r="G223" s="2" t="n"/>
    </row>
    <row r="224" ht="14.25" customHeight="1" s="46">
      <c r="A224" s="2" t="n"/>
      <c r="B224" s="2" t="n"/>
      <c r="C224" s="2" t="n"/>
      <c r="D224" s="2" t="n"/>
      <c r="E224" s="2" t="n"/>
      <c r="F224" s="2" t="n"/>
      <c r="G224" s="2" t="n"/>
    </row>
    <row r="225" ht="14.25" customHeight="1" s="46">
      <c r="A225" s="2" t="n"/>
      <c r="B225" s="2" t="n"/>
      <c r="C225" s="2" t="n"/>
      <c r="D225" s="2" t="n"/>
      <c r="E225" s="2" t="n"/>
      <c r="F225" s="2" t="n"/>
      <c r="G225" s="2" t="n"/>
    </row>
    <row r="226" ht="14.25" customHeight="1" s="46">
      <c r="A226" s="2" t="n"/>
      <c r="B226" s="2" t="n"/>
      <c r="C226" s="2" t="n"/>
      <c r="D226" s="2" t="n"/>
      <c r="E226" s="2" t="n"/>
      <c r="F226" s="2" t="n"/>
      <c r="G226" s="2" t="n"/>
    </row>
    <row r="227" ht="14.25" customHeight="1" s="46">
      <c r="A227" s="2" t="n"/>
      <c r="B227" s="2" t="n"/>
      <c r="C227" s="2" t="n"/>
      <c r="D227" s="2" t="n"/>
      <c r="E227" s="2" t="n"/>
      <c r="F227" s="2" t="n"/>
      <c r="G227" s="2" t="n"/>
    </row>
    <row r="228" ht="14.25" customHeight="1" s="46">
      <c r="A228" s="2" t="n"/>
      <c r="B228" s="2" t="n"/>
      <c r="C228" s="2" t="n"/>
      <c r="D228" s="2" t="n"/>
      <c r="E228" s="2" t="n"/>
      <c r="F228" s="2" t="n"/>
      <c r="G228" s="2" t="n"/>
    </row>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dataValidations count="1">
    <dataValidation sqref="E5:E24" showDropDown="0" showInputMessage="0" showErrorMessage="0" allowBlank="1" type="list">
      <formula1>"Agree,Change,Drop"</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I22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46" min="1" max="1"/>
    <col width="11" customWidth="1" style="46" min="2" max="2"/>
    <col width="12" customWidth="1" style="46" min="3" max="3"/>
    <col width="11" customWidth="1" style="46" min="4" max="8"/>
    <col width="44" customWidth="1" style="46" min="9" max="9"/>
  </cols>
  <sheetData>
    <row r="1" ht="9" customHeight="1" s="46">
      <c r="A1" s="1" t="inlineStr">
        <is>
          <t>Step 0: where knowledge comes from</t>
        </is>
      </c>
      <c r="B1" s="2" t="n"/>
      <c r="C1" s="2" t="n"/>
      <c r="D1" s="2" t="n"/>
      <c r="E1" s="2" t="n"/>
      <c r="F1" s="2" t="n"/>
      <c r="G1" s="2" t="n"/>
      <c r="H1" s="2" t="n"/>
      <c r="I1" s="2" t="n"/>
    </row>
    <row r="2" ht="14.25" customHeight="1" s="46">
      <c r="A2" s="3" t="inlineStr">
        <is>
          <t>Typical count = how many a town has on average during that stage (blue, edit them). The totals feed 0 Stages.</t>
        </is>
      </c>
      <c r="B2" s="2" t="n"/>
      <c r="C2" s="2" t="n"/>
      <c r="D2" s="2" t="n"/>
      <c r="E2" s="2" t="n"/>
      <c r="F2" s="2" t="n"/>
      <c r="G2" s="2" t="n"/>
      <c r="H2" s="2" t="n"/>
      <c r="I2" s="2" t="n"/>
    </row>
    <row r="3" ht="14.25" customHeight="1" s="46">
      <c r="A3" s="2" t="n"/>
      <c r="B3" s="2" t="n"/>
      <c r="C3" s="2" t="n"/>
      <c r="D3" s="2" t="n"/>
      <c r="E3" s="2" t="n"/>
      <c r="F3" s="2" t="n"/>
      <c r="G3" s="2" t="n"/>
      <c r="H3" s="2" t="n"/>
      <c r="I3" s="2" t="n"/>
    </row>
    <row r="4" ht="25.5" customHeight="1" s="46">
      <c r="A4" s="9" t="inlineStr">
        <is>
          <t>Source</t>
        </is>
      </c>
      <c r="B4" s="9" t="inlineStr">
        <is>
          <t>From rank</t>
        </is>
      </c>
      <c r="C4" s="9" t="inlineStr">
        <is>
          <t>Knowledge a month each</t>
        </is>
      </c>
      <c r="D4" s="9" t="inlineStr">
        <is>
          <t>Hamlet (count)</t>
        </is>
      </c>
      <c r="E4" s="9" t="inlineStr">
        <is>
          <t>Village (count)</t>
        </is>
      </c>
      <c r="F4" s="9" t="inlineStr">
        <is>
          <t>Town (count)</t>
        </is>
      </c>
      <c r="G4" s="9" t="inlineStr">
        <is>
          <t>Borough (count)</t>
        </is>
      </c>
      <c r="H4" s="9" t="inlineStr">
        <is>
          <t>City (count)</t>
        </is>
      </c>
      <c r="I4" s="9" t="inlineStr">
        <is>
          <t>Change from today</t>
        </is>
      </c>
    </row>
    <row r="5" ht="24.75" customHeight="1" s="46">
      <c r="A5" s="7" t="inlineStr">
        <is>
          <t>Elders' lore (camp, then manor hall)</t>
        </is>
      </c>
      <c r="B5" s="7" t="inlineStr">
        <is>
          <t>Hamlet</t>
        </is>
      </c>
      <c r="C5" s="11" t="n">
        <v>0.1</v>
      </c>
      <c r="D5" s="11" t="n">
        <v>1</v>
      </c>
      <c r="E5" s="11" t="n">
        <v>1</v>
      </c>
      <c r="F5" s="11" t="n">
        <v>1</v>
      </c>
      <c r="G5" s="11" t="n">
        <v>1</v>
      </c>
      <c r="H5" s="11" t="n">
        <v>1</v>
      </c>
      <c r="I5" s="7" t="inlineStr">
        <is>
          <t>New: a trickle from the first day, so the Hamlet can learn.</t>
        </is>
      </c>
    </row>
    <row r="6" ht="14.25" customHeight="1" s="46">
      <c r="A6" s="7" t="inlineStr">
        <is>
          <t>Wooden church</t>
        </is>
      </c>
      <c r="B6" s="7" t="inlineStr">
        <is>
          <t>Village</t>
        </is>
      </c>
      <c r="C6" s="11" t="n">
        <v>0.25</v>
      </c>
      <c r="D6" s="11" t="n">
        <v>0</v>
      </c>
      <c r="E6" s="11" t="n">
        <v>1</v>
      </c>
      <c r="F6" s="11" t="n">
        <v>0</v>
      </c>
      <c r="G6" s="11" t="n">
        <v>0</v>
      </c>
      <c r="H6" s="11" t="n">
        <v>0</v>
      </c>
      <c r="I6" s="7" t="inlineStr">
        <is>
          <t>Moves from Town to Village (step 2 to confirm).</t>
        </is>
      </c>
    </row>
    <row r="7" ht="14.25" customHeight="1" s="46">
      <c r="A7" s="7" t="inlineStr">
        <is>
          <t>Stone Church</t>
        </is>
      </c>
      <c r="B7" s="7" t="inlineStr">
        <is>
          <t>Town</t>
        </is>
      </c>
      <c r="C7" s="11" t="n">
        <v>1</v>
      </c>
      <c r="D7" s="11" t="n">
        <v>0</v>
      </c>
      <c r="E7" s="11" t="n">
        <v>0</v>
      </c>
      <c r="F7" s="11" t="n">
        <v>1</v>
      </c>
      <c r="G7" s="11" t="n">
        <v>1</v>
      </c>
      <c r="H7" s="11" t="n">
        <v>2</v>
      </c>
      <c r="I7" s="7" t="n"/>
    </row>
    <row r="8" ht="14.25" customHeight="1" s="46">
      <c r="A8" s="7" t="inlineStr">
        <is>
          <t>Timber House (lived in)</t>
        </is>
      </c>
      <c r="B8" s="7" t="inlineStr">
        <is>
          <t>Village</t>
        </is>
      </c>
      <c r="C8" s="11" t="n">
        <v>0.05</v>
      </c>
      <c r="D8" s="11" t="n">
        <v>0</v>
      </c>
      <c r="E8" s="11" t="n">
        <v>10</v>
      </c>
      <c r="F8" s="11" t="n">
        <v>12</v>
      </c>
      <c r="G8" s="11" t="n">
        <v>15</v>
      </c>
      <c r="H8" s="11" t="n">
        <v>20</v>
      </c>
      <c r="I8" s="7" t="inlineStr">
        <is>
          <t>New: a little learning in every Timber House.</t>
        </is>
      </c>
    </row>
    <row r="9" ht="14.25" customHeight="1" s="46">
      <c r="A9" s="7" t="inlineStr">
        <is>
          <t>Townhouse (lived in)</t>
        </is>
      </c>
      <c r="B9" s="7" t="inlineStr">
        <is>
          <t>Town</t>
        </is>
      </c>
      <c r="C9" s="11" t="n">
        <v>0.1</v>
      </c>
      <c r="D9" s="11" t="n">
        <v>0</v>
      </c>
      <c r="E9" s="11" t="n">
        <v>0</v>
      </c>
      <c r="F9" s="11" t="n">
        <v>6</v>
      </c>
      <c r="G9" s="11" t="n">
        <v>15</v>
      </c>
      <c r="H9" s="11" t="n">
        <v>20</v>
      </c>
      <c r="I9" s="7" t="n"/>
    </row>
    <row r="10" ht="14.25" customHeight="1" s="46">
      <c r="A10" s="7" t="inlineStr">
        <is>
          <t>Merchant's House (lived in)</t>
        </is>
      </c>
      <c r="B10" s="7" t="inlineStr">
        <is>
          <t>Borough</t>
        </is>
      </c>
      <c r="C10" s="11" t="n">
        <v>0.25</v>
      </c>
      <c r="D10" s="11" t="n">
        <v>0</v>
      </c>
      <c r="E10" s="11" t="n">
        <v>0</v>
      </c>
      <c r="F10" s="11" t="n">
        <v>0</v>
      </c>
      <c r="G10" s="11" t="n">
        <v>6</v>
      </c>
      <c r="H10" s="11" t="n">
        <v>20</v>
      </c>
      <c r="I10" s="7" t="n"/>
    </row>
    <row r="11" ht="14.25" customHeight="1" s="46">
      <c r="A11" s="7" t="inlineStr">
        <is>
          <t>Monastery (with its book)</t>
        </is>
      </c>
      <c r="B11" s="7" t="inlineStr">
        <is>
          <t>Town</t>
        </is>
      </c>
      <c r="C11" s="11" t="n">
        <v>3</v>
      </c>
      <c r="D11" s="11" t="n">
        <v>0</v>
      </c>
      <c r="E11" s="11" t="n">
        <v>0</v>
      </c>
      <c r="F11" s="11" t="n">
        <v>0.5</v>
      </c>
      <c r="G11" s="11" t="n">
        <v>1</v>
      </c>
      <c r="H11" s="11" t="n">
        <v>1</v>
      </c>
      <c r="I11" s="7" t="n"/>
    </row>
    <row r="12" ht="14.25" customHeight="1" s="46">
      <c r="A12" s="7" t="inlineStr">
        <is>
          <t>Scriptorium at work (charter)</t>
        </is>
      </c>
      <c r="B12" s="7" t="inlineStr">
        <is>
          <t>Town</t>
        </is>
      </c>
      <c r="C12" s="11" t="n">
        <v>1</v>
      </c>
      <c r="D12" s="11" t="n">
        <v>0</v>
      </c>
      <c r="E12" s="11" t="n">
        <v>0</v>
      </c>
      <c r="F12" s="11" t="n">
        <v>0</v>
      </c>
      <c r="G12" s="11" t="n">
        <v>0.5</v>
      </c>
      <c r="H12" s="11" t="n">
        <v>1</v>
      </c>
      <c r="I12" s="7" t="n"/>
    </row>
    <row r="13" ht="14.25" customHeight="1" s="46">
      <c r="A13" s="7" t="inlineStr">
        <is>
          <t>University (with its books)</t>
        </is>
      </c>
      <c r="B13" s="7" t="inlineStr">
        <is>
          <t>Borough</t>
        </is>
      </c>
      <c r="C13" s="11" t="n">
        <v>10</v>
      </c>
      <c r="D13" s="11" t="n">
        <v>0</v>
      </c>
      <c r="E13" s="11" t="n">
        <v>0</v>
      </c>
      <c r="F13" s="11" t="n">
        <v>0</v>
      </c>
      <c r="G13" s="11" t="n">
        <v>0.3</v>
      </c>
      <c r="H13" s="11" t="n">
        <v>1</v>
      </c>
      <c r="I13" s="7" t="n"/>
    </row>
    <row r="14" ht="24.75" customHeight="1" s="46">
      <c r="A14" s="7" t="inlineStr">
        <is>
          <t>Public school (or a Sunday school extension)</t>
        </is>
      </c>
      <c r="B14" s="7" t="inlineStr">
        <is>
          <t>Town</t>
        </is>
      </c>
      <c r="C14" s="11" t="n">
        <v>0.25</v>
      </c>
      <c r="D14" s="11" t="n">
        <v>0</v>
      </c>
      <c r="E14" s="11" t="n">
        <v>0</v>
      </c>
      <c r="F14" s="11" t="n">
        <v>1</v>
      </c>
      <c r="G14" s="11" t="n">
        <v>1</v>
      </c>
      <c r="H14" s="11" t="n">
        <v>1</v>
      </c>
      <c r="I14" s="7" t="inlineStr">
        <is>
          <t>New: slightly decrease efficiency (1 to 2% maybe)</t>
        </is>
      </c>
    </row>
    <row r="15" ht="14.25" customHeight="1" s="46">
      <c r="A15" s="7" t="inlineStr">
        <is>
          <t>Cathedral</t>
        </is>
      </c>
      <c r="B15" s="7" t="inlineStr">
        <is>
          <t>Borough</t>
        </is>
      </c>
      <c r="C15" s="11" t="n">
        <v>3</v>
      </c>
      <c r="D15" s="11" t="n">
        <v>0</v>
      </c>
      <c r="E15" s="11" t="n">
        <v>0</v>
      </c>
      <c r="F15" s="11" t="n">
        <v>0</v>
      </c>
      <c r="G15" s="11" t="n">
        <v>0.2</v>
      </c>
      <c r="H15" s="11" t="n">
        <v>1</v>
      </c>
      <c r="I15" s="7" t="n"/>
    </row>
    <row r="16" ht="25.5" customHeight="1" s="46">
      <c r="A16" s="10" t="inlineStr">
        <is>
          <t>Knowledge a month (average in stage)</t>
        </is>
      </c>
      <c r="B16" s="10" t="n"/>
      <c r="C16" s="10" t="n"/>
      <c r="D16" s="14">
        <f>SUMPRODUCT($C$5:$C$15,D5:D15)</f>
        <v/>
      </c>
      <c r="E16" s="14">
        <f>SUMPRODUCT($C$5:$C$15,E5:E15)</f>
        <v/>
      </c>
      <c r="F16" s="14">
        <f>SUMPRODUCT($C$5:$C$15,F5:F15)</f>
        <v/>
      </c>
      <c r="G16" s="14">
        <f>SUMPRODUCT($C$5:$C$15,G5:G15)</f>
        <v/>
      </c>
      <c r="H16" s="14">
        <f>SUMPRODUCT($C$5:$C$15,H5:H15)</f>
        <v/>
      </c>
      <c r="I16" s="10" t="n"/>
    </row>
    <row r="17" ht="14.25" customHeight="1" s="46">
      <c r="A17" s="2" t="n"/>
      <c r="B17" s="2" t="n"/>
      <c r="C17" s="2" t="n"/>
      <c r="D17" s="2" t="n"/>
      <c r="E17" s="2" t="n"/>
      <c r="F17" s="2" t="n"/>
      <c r="G17" s="2" t="n"/>
      <c r="H17" s="2" t="n"/>
      <c r="I17" s="2" t="n"/>
    </row>
    <row r="18" ht="14.25" customHeight="1" s="46">
      <c r="A18" s="2" t="n"/>
      <c r="B18" s="2" t="n"/>
      <c r="C18" s="2" t="n"/>
      <c r="D18" s="2" t="n"/>
      <c r="E18" s="2" t="n"/>
      <c r="F18" s="2" t="n"/>
      <c r="G18" s="2" t="n"/>
      <c r="H18" s="2" t="n"/>
      <c r="I18" s="2" t="n"/>
    </row>
    <row r="19" ht="14.25" customHeight="1" s="46">
      <c r="A19" s="2" t="n"/>
      <c r="B19" s="2" t="n"/>
      <c r="C19" s="2" t="n"/>
      <c r="D19" s="2" t="n"/>
      <c r="E19" s="2" t="n"/>
      <c r="F19" s="2" t="n"/>
      <c r="G19" s="2" t="n"/>
      <c r="H19" s="2" t="n"/>
      <c r="I19" s="2" t="n"/>
    </row>
    <row r="20" ht="14.25" customHeight="1" s="46">
      <c r="A20" s="2" t="n"/>
      <c r="B20" s="2" t="n"/>
      <c r="C20" s="2" t="n"/>
      <c r="D20" s="2" t="n"/>
      <c r="E20" s="2" t="n"/>
      <c r="F20" s="2" t="n"/>
      <c r="G20" s="2" t="n"/>
      <c r="H20" s="2" t="n"/>
      <c r="I20" s="2" t="n"/>
    </row>
    <row r="21" ht="14.25" customHeight="1" s="46">
      <c r="A21" s="2" t="n"/>
      <c r="B21" s="2" t="n"/>
      <c r="C21" s="2" t="n"/>
      <c r="D21" s="2" t="n"/>
      <c r="E21" s="2" t="n"/>
      <c r="F21" s="2" t="n"/>
      <c r="G21" s="2" t="n"/>
      <c r="H21" s="2" t="n"/>
      <c r="I21" s="2" t="n"/>
    </row>
    <row r="22" ht="14.25" customHeight="1" s="46">
      <c r="A22" s="2" t="n"/>
      <c r="B22" s="2" t="n"/>
      <c r="C22" s="2" t="n"/>
      <c r="D22" s="2" t="n"/>
      <c r="E22" s="2" t="n"/>
      <c r="F22" s="2" t="n"/>
      <c r="G22" s="2" t="n"/>
      <c r="H22" s="2" t="n"/>
      <c r="I22" s="2" t="n"/>
    </row>
    <row r="23" ht="14.25" customHeight="1" s="46">
      <c r="A23" s="2" t="n"/>
      <c r="B23" s="2" t="n"/>
      <c r="C23" s="2" t="n"/>
      <c r="D23" s="2" t="n"/>
      <c r="E23" s="2" t="n"/>
      <c r="F23" s="2" t="n"/>
      <c r="G23" s="2" t="n"/>
      <c r="H23" s="2" t="n"/>
      <c r="I23" s="2" t="n"/>
    </row>
    <row r="24" ht="14.25" customHeight="1" s="46">
      <c r="A24" s="2" t="n"/>
      <c r="B24" s="2" t="n"/>
      <c r="C24" s="2" t="n"/>
      <c r="D24" s="2" t="n"/>
      <c r="E24" s="2" t="n"/>
      <c r="F24" s="2" t="n"/>
      <c r="G24" s="2" t="n"/>
      <c r="H24" s="2" t="n"/>
      <c r="I24" s="2" t="n"/>
    </row>
    <row r="25" ht="14.25" customHeight="1" s="46">
      <c r="A25" s="2" t="n"/>
      <c r="B25" s="2" t="n"/>
      <c r="C25" s="2" t="n"/>
      <c r="D25" s="2" t="n"/>
      <c r="E25" s="2" t="n"/>
      <c r="F25" s="2" t="n"/>
      <c r="G25" s="2" t="n"/>
      <c r="H25" s="2" t="n"/>
      <c r="I25" s="2" t="n"/>
    </row>
    <row r="26" ht="14.25" customHeight="1" s="46">
      <c r="A26" s="2" t="n"/>
      <c r="B26" s="2" t="n"/>
      <c r="C26" s="2" t="n"/>
      <c r="D26" s="2" t="n"/>
      <c r="E26" s="2" t="n"/>
      <c r="F26" s="2" t="n"/>
      <c r="G26" s="2" t="n"/>
      <c r="H26" s="2" t="n"/>
      <c r="I26" s="2" t="n"/>
    </row>
    <row r="27" ht="14.25" customHeight="1" s="46">
      <c r="A27" s="2" t="n"/>
      <c r="B27" s="2" t="n"/>
      <c r="C27" s="2" t="n"/>
      <c r="D27" s="2" t="n"/>
      <c r="E27" s="2" t="n"/>
      <c r="F27" s="2" t="n"/>
      <c r="G27" s="2" t="n"/>
      <c r="H27" s="2" t="n"/>
      <c r="I27" s="2" t="n"/>
    </row>
    <row r="28" ht="14.25" customHeight="1" s="46">
      <c r="A28" s="2" t="n"/>
      <c r="B28" s="2" t="n"/>
      <c r="C28" s="2" t="n"/>
      <c r="D28" s="2" t="n"/>
      <c r="E28" s="2" t="n"/>
      <c r="F28" s="2" t="n"/>
      <c r="G28" s="2" t="n"/>
      <c r="H28" s="2" t="n"/>
      <c r="I28" s="2" t="n"/>
    </row>
    <row r="29" ht="14.25" customHeight="1" s="46">
      <c r="A29" s="2" t="n"/>
      <c r="B29" s="2" t="n"/>
      <c r="C29" s="2" t="n"/>
      <c r="D29" s="2" t="n"/>
      <c r="E29" s="2" t="n"/>
      <c r="F29" s="2" t="n"/>
      <c r="G29" s="2" t="n"/>
      <c r="H29" s="2" t="n"/>
      <c r="I29" s="2" t="n"/>
    </row>
    <row r="30" ht="14.25" customHeight="1" s="46">
      <c r="A30" s="2" t="n"/>
      <c r="B30" s="2" t="n"/>
      <c r="C30" s="2" t="n"/>
      <c r="D30" s="2" t="n"/>
      <c r="E30" s="2" t="n"/>
      <c r="F30" s="2" t="n"/>
      <c r="G30" s="2" t="n"/>
      <c r="H30" s="2" t="n"/>
      <c r="I30" s="2" t="n"/>
    </row>
    <row r="31" ht="14.25" customHeight="1" s="46">
      <c r="A31" s="2" t="n"/>
      <c r="B31" s="2" t="n"/>
      <c r="C31" s="2" t="n"/>
      <c r="D31" s="2" t="n"/>
      <c r="E31" s="2" t="n"/>
      <c r="F31" s="2" t="n"/>
      <c r="G31" s="2" t="n"/>
      <c r="H31" s="2" t="n"/>
      <c r="I31" s="2" t="n"/>
    </row>
    <row r="32" ht="14.25" customHeight="1" s="46">
      <c r="A32" s="2" t="n"/>
      <c r="B32" s="2" t="n"/>
      <c r="C32" s="2" t="n"/>
      <c r="D32" s="2" t="n"/>
      <c r="E32" s="2" t="n"/>
      <c r="F32" s="2" t="n"/>
      <c r="G32" s="2" t="n"/>
      <c r="H32" s="2" t="n"/>
      <c r="I32" s="2" t="n"/>
    </row>
    <row r="33" ht="14.25" customHeight="1" s="46">
      <c r="A33" s="2" t="n"/>
      <c r="B33" s="2" t="n"/>
      <c r="C33" s="2" t="n"/>
      <c r="D33" s="2" t="n"/>
      <c r="E33" s="2" t="n"/>
      <c r="F33" s="2" t="n"/>
      <c r="G33" s="2" t="n"/>
      <c r="H33" s="2" t="n"/>
      <c r="I33" s="2" t="n"/>
    </row>
    <row r="34" ht="14.25" customHeight="1" s="46">
      <c r="A34" s="2" t="n"/>
      <c r="B34" s="2" t="n"/>
      <c r="C34" s="2" t="n"/>
      <c r="D34" s="2" t="n"/>
      <c r="E34" s="2" t="n"/>
      <c r="F34" s="2" t="n"/>
      <c r="G34" s="2" t="n"/>
      <c r="H34" s="2" t="n"/>
      <c r="I34" s="2" t="n"/>
    </row>
    <row r="35" ht="14.25" customHeight="1" s="46">
      <c r="A35" s="2" t="n"/>
      <c r="B35" s="2" t="n"/>
      <c r="C35" s="2" t="n"/>
      <c r="D35" s="2" t="n"/>
      <c r="E35" s="2" t="n"/>
      <c r="F35" s="2" t="n"/>
      <c r="G35" s="2" t="n"/>
      <c r="H35" s="2" t="n"/>
      <c r="I35" s="2" t="n"/>
    </row>
    <row r="36" ht="14.25" customHeight="1" s="46">
      <c r="A36" s="2" t="n"/>
      <c r="B36" s="2" t="n"/>
      <c r="C36" s="2" t="n"/>
      <c r="D36" s="2" t="n"/>
      <c r="E36" s="2" t="n"/>
      <c r="F36" s="2" t="n"/>
      <c r="G36" s="2" t="n"/>
      <c r="H36" s="2" t="n"/>
      <c r="I36" s="2" t="n"/>
    </row>
    <row r="37" ht="14.25" customHeight="1" s="46">
      <c r="A37" s="2" t="n"/>
      <c r="B37" s="2" t="n"/>
      <c r="C37" s="2" t="n"/>
      <c r="D37" s="2" t="n"/>
      <c r="E37" s="2" t="n"/>
      <c r="F37" s="2" t="n"/>
      <c r="G37" s="2" t="n"/>
      <c r="H37" s="2" t="n"/>
      <c r="I37" s="2" t="n"/>
    </row>
    <row r="38" ht="14.25" customHeight="1" s="46">
      <c r="A38" s="2" t="n"/>
      <c r="B38" s="2" t="n"/>
      <c r="C38" s="2" t="n"/>
      <c r="D38" s="2" t="n"/>
      <c r="E38" s="2" t="n"/>
      <c r="F38" s="2" t="n"/>
      <c r="G38" s="2" t="n"/>
      <c r="H38" s="2" t="n"/>
      <c r="I38" s="2" t="n"/>
    </row>
    <row r="39" ht="14.25" customHeight="1" s="46">
      <c r="A39" s="2" t="n"/>
      <c r="B39" s="2" t="n"/>
      <c r="C39" s="2" t="n"/>
      <c r="D39" s="2" t="n"/>
      <c r="E39" s="2" t="n"/>
      <c r="F39" s="2" t="n"/>
      <c r="G39" s="2" t="n"/>
      <c r="H39" s="2" t="n"/>
      <c r="I39" s="2" t="n"/>
    </row>
    <row r="40" ht="14.25" customHeight="1" s="46">
      <c r="A40" s="2" t="n"/>
      <c r="B40" s="2" t="n"/>
      <c r="C40" s="2" t="n"/>
      <c r="D40" s="2" t="n"/>
      <c r="E40" s="2" t="n"/>
      <c r="F40" s="2" t="n"/>
      <c r="G40" s="2" t="n"/>
      <c r="H40" s="2" t="n"/>
      <c r="I40" s="2" t="n"/>
    </row>
    <row r="41" ht="14.25" customHeight="1" s="46">
      <c r="A41" s="2" t="n"/>
      <c r="B41" s="2" t="n"/>
      <c r="C41" s="2" t="n"/>
      <c r="D41" s="2" t="n"/>
      <c r="E41" s="2" t="n"/>
      <c r="F41" s="2" t="n"/>
      <c r="G41" s="2" t="n"/>
      <c r="H41" s="2" t="n"/>
      <c r="I41" s="2" t="n"/>
    </row>
    <row r="42" ht="14.25" customHeight="1" s="46">
      <c r="A42" s="2" t="n"/>
      <c r="B42" s="2" t="n"/>
      <c r="C42" s="2" t="n"/>
      <c r="D42" s="2" t="n"/>
      <c r="E42" s="2" t="n"/>
      <c r="F42" s="2" t="n"/>
      <c r="G42" s="2" t="n"/>
      <c r="H42" s="2" t="n"/>
      <c r="I42" s="2" t="n"/>
    </row>
    <row r="43" ht="14.25" customHeight="1" s="46">
      <c r="A43" s="2" t="n"/>
      <c r="B43" s="2" t="n"/>
      <c r="C43" s="2" t="n"/>
      <c r="D43" s="2" t="n"/>
      <c r="E43" s="2" t="n"/>
      <c r="F43" s="2" t="n"/>
      <c r="G43" s="2" t="n"/>
      <c r="H43" s="2" t="n"/>
      <c r="I43" s="2" t="n"/>
    </row>
    <row r="44" ht="14.25" customHeight="1" s="46">
      <c r="A44" s="2" t="n"/>
      <c r="B44" s="2" t="n"/>
      <c r="C44" s="2" t="n"/>
      <c r="D44" s="2" t="n"/>
      <c r="E44" s="2" t="n"/>
      <c r="F44" s="2" t="n"/>
      <c r="G44" s="2" t="n"/>
      <c r="H44" s="2" t="n"/>
      <c r="I44" s="2" t="n"/>
    </row>
    <row r="45" ht="14.25" customHeight="1" s="46">
      <c r="A45" s="2" t="n"/>
      <c r="B45" s="2" t="n"/>
      <c r="C45" s="2" t="n"/>
      <c r="D45" s="2" t="n"/>
      <c r="E45" s="2" t="n"/>
      <c r="F45" s="2" t="n"/>
      <c r="G45" s="2" t="n"/>
      <c r="H45" s="2" t="n"/>
      <c r="I45" s="2" t="n"/>
    </row>
    <row r="46" ht="14.25" customHeight="1" s="46">
      <c r="A46" s="2" t="n"/>
      <c r="B46" s="2" t="n"/>
      <c r="C46" s="2" t="n"/>
      <c r="D46" s="2" t="n"/>
      <c r="E46" s="2" t="n"/>
      <c r="F46" s="2" t="n"/>
      <c r="G46" s="2" t="n"/>
      <c r="H46" s="2" t="n"/>
      <c r="I46" s="2" t="n"/>
    </row>
    <row r="47" ht="14.25" customHeight="1" s="46">
      <c r="A47" s="2" t="n"/>
      <c r="B47" s="2" t="n"/>
      <c r="C47" s="2" t="n"/>
      <c r="D47" s="2" t="n"/>
      <c r="E47" s="2" t="n"/>
      <c r="F47" s="2" t="n"/>
      <c r="G47" s="2" t="n"/>
      <c r="H47" s="2" t="n"/>
      <c r="I47" s="2" t="n"/>
    </row>
    <row r="48" ht="14.25" customHeight="1" s="46">
      <c r="A48" s="2" t="n"/>
      <c r="B48" s="2" t="n"/>
      <c r="C48" s="2" t="n"/>
      <c r="D48" s="2" t="n"/>
      <c r="E48" s="2" t="n"/>
      <c r="F48" s="2" t="n"/>
      <c r="G48" s="2" t="n"/>
      <c r="H48" s="2" t="n"/>
      <c r="I48" s="2" t="n"/>
    </row>
    <row r="49" ht="14.25" customHeight="1" s="46">
      <c r="A49" s="2" t="n"/>
      <c r="B49" s="2" t="n"/>
      <c r="C49" s="2" t="n"/>
      <c r="D49" s="2" t="n"/>
      <c r="E49" s="2" t="n"/>
      <c r="F49" s="2" t="n"/>
      <c r="G49" s="2" t="n"/>
      <c r="H49" s="2" t="n"/>
      <c r="I49" s="2" t="n"/>
    </row>
    <row r="50" ht="14.25" customHeight="1" s="46">
      <c r="A50" s="2" t="n"/>
      <c r="B50" s="2" t="n"/>
      <c r="C50" s="2" t="n"/>
      <c r="D50" s="2" t="n"/>
      <c r="E50" s="2" t="n"/>
      <c r="F50" s="2" t="n"/>
      <c r="G50" s="2" t="n"/>
      <c r="H50" s="2" t="n"/>
      <c r="I50" s="2" t="n"/>
    </row>
    <row r="51" ht="14.25" customHeight="1" s="46">
      <c r="A51" s="2" t="n"/>
      <c r="B51" s="2" t="n"/>
      <c r="C51" s="2" t="n"/>
      <c r="D51" s="2" t="n"/>
      <c r="E51" s="2" t="n"/>
      <c r="F51" s="2" t="n"/>
      <c r="G51" s="2" t="n"/>
      <c r="H51" s="2" t="n"/>
      <c r="I51" s="2" t="n"/>
    </row>
    <row r="52" ht="14.25" customHeight="1" s="46">
      <c r="A52" s="2" t="n"/>
      <c r="B52" s="2" t="n"/>
      <c r="C52" s="2" t="n"/>
      <c r="D52" s="2" t="n"/>
      <c r="E52" s="2" t="n"/>
      <c r="F52" s="2" t="n"/>
      <c r="G52" s="2" t="n"/>
      <c r="H52" s="2" t="n"/>
      <c r="I52" s="2" t="n"/>
    </row>
    <row r="53" ht="14.25" customHeight="1" s="46">
      <c r="A53" s="2" t="n"/>
      <c r="B53" s="2" t="n"/>
      <c r="C53" s="2" t="n"/>
      <c r="D53" s="2" t="n"/>
      <c r="E53" s="2" t="n"/>
      <c r="F53" s="2" t="n"/>
      <c r="G53" s="2" t="n"/>
      <c r="H53" s="2" t="n"/>
      <c r="I53" s="2" t="n"/>
    </row>
    <row r="54" ht="14.25" customHeight="1" s="46">
      <c r="A54" s="2" t="n"/>
      <c r="B54" s="2" t="n"/>
      <c r="C54" s="2" t="n"/>
      <c r="D54" s="2" t="n"/>
      <c r="E54" s="2" t="n"/>
      <c r="F54" s="2" t="n"/>
      <c r="G54" s="2" t="n"/>
      <c r="H54" s="2" t="n"/>
      <c r="I54" s="2" t="n"/>
    </row>
    <row r="55" ht="14.25" customHeight="1" s="46">
      <c r="A55" s="2" t="n"/>
      <c r="B55" s="2" t="n"/>
      <c r="C55" s="2" t="n"/>
      <c r="D55" s="2" t="n"/>
      <c r="E55" s="2" t="n"/>
      <c r="F55" s="2" t="n"/>
      <c r="G55" s="2" t="n"/>
      <c r="H55" s="2" t="n"/>
      <c r="I55" s="2" t="n"/>
    </row>
    <row r="56" ht="14.25" customHeight="1" s="46">
      <c r="A56" s="2" t="n"/>
      <c r="B56" s="2" t="n"/>
      <c r="C56" s="2" t="n"/>
      <c r="D56" s="2" t="n"/>
      <c r="E56" s="2" t="n"/>
      <c r="F56" s="2" t="n"/>
      <c r="G56" s="2" t="n"/>
      <c r="H56" s="2" t="n"/>
      <c r="I56" s="2" t="n"/>
    </row>
    <row r="57" ht="14.25" customHeight="1" s="46">
      <c r="A57" s="2" t="n"/>
      <c r="B57" s="2" t="n"/>
      <c r="C57" s="2" t="n"/>
      <c r="D57" s="2" t="n"/>
      <c r="E57" s="2" t="n"/>
      <c r="F57" s="2" t="n"/>
      <c r="G57" s="2" t="n"/>
      <c r="H57" s="2" t="n"/>
      <c r="I57" s="2" t="n"/>
    </row>
    <row r="58" ht="14.25" customHeight="1" s="46">
      <c r="A58" s="2" t="n"/>
      <c r="B58" s="2" t="n"/>
      <c r="C58" s="2" t="n"/>
      <c r="D58" s="2" t="n"/>
      <c r="E58" s="2" t="n"/>
      <c r="F58" s="2" t="n"/>
      <c r="G58" s="2" t="n"/>
      <c r="H58" s="2" t="n"/>
      <c r="I58" s="2" t="n"/>
    </row>
    <row r="59" ht="14.25" customHeight="1" s="46">
      <c r="A59" s="2" t="n"/>
      <c r="B59" s="2" t="n"/>
      <c r="C59" s="2" t="n"/>
      <c r="D59" s="2" t="n"/>
      <c r="E59" s="2" t="n"/>
      <c r="F59" s="2" t="n"/>
      <c r="G59" s="2" t="n"/>
      <c r="H59" s="2" t="n"/>
      <c r="I59" s="2" t="n"/>
    </row>
    <row r="60" ht="14.25" customHeight="1" s="46">
      <c r="A60" s="2" t="n"/>
      <c r="B60" s="2" t="n"/>
      <c r="C60" s="2" t="n"/>
      <c r="D60" s="2" t="n"/>
      <c r="E60" s="2" t="n"/>
      <c r="F60" s="2" t="n"/>
      <c r="G60" s="2" t="n"/>
      <c r="H60" s="2" t="n"/>
      <c r="I60" s="2" t="n"/>
    </row>
    <row r="61" ht="14.25" customHeight="1" s="46">
      <c r="A61" s="2" t="n"/>
      <c r="B61" s="2" t="n"/>
      <c r="C61" s="2" t="n"/>
      <c r="D61" s="2" t="n"/>
      <c r="E61" s="2" t="n"/>
      <c r="F61" s="2" t="n"/>
      <c r="G61" s="2" t="n"/>
      <c r="H61" s="2" t="n"/>
      <c r="I61" s="2" t="n"/>
    </row>
    <row r="62" ht="14.25" customHeight="1" s="46">
      <c r="A62" s="2" t="n"/>
      <c r="B62" s="2" t="n"/>
      <c r="C62" s="2" t="n"/>
      <c r="D62" s="2" t="n"/>
      <c r="E62" s="2" t="n"/>
      <c r="F62" s="2" t="n"/>
      <c r="G62" s="2" t="n"/>
      <c r="H62" s="2" t="n"/>
      <c r="I62" s="2" t="n"/>
    </row>
    <row r="63" ht="14.25" customHeight="1" s="46">
      <c r="A63" s="2" t="n"/>
      <c r="B63" s="2" t="n"/>
      <c r="C63" s="2" t="n"/>
      <c r="D63" s="2" t="n"/>
      <c r="E63" s="2" t="n"/>
      <c r="F63" s="2" t="n"/>
      <c r="G63" s="2" t="n"/>
      <c r="H63" s="2" t="n"/>
      <c r="I63" s="2" t="n"/>
    </row>
    <row r="64" ht="14.25" customHeight="1" s="46">
      <c r="A64" s="2" t="n"/>
      <c r="B64" s="2" t="n"/>
      <c r="C64" s="2" t="n"/>
      <c r="D64" s="2" t="n"/>
      <c r="E64" s="2" t="n"/>
      <c r="F64" s="2" t="n"/>
      <c r="G64" s="2" t="n"/>
      <c r="H64" s="2" t="n"/>
      <c r="I64" s="2" t="n"/>
    </row>
    <row r="65" ht="14.25" customHeight="1" s="46">
      <c r="A65" s="2" t="n"/>
      <c r="B65" s="2" t="n"/>
      <c r="C65" s="2" t="n"/>
      <c r="D65" s="2" t="n"/>
      <c r="E65" s="2" t="n"/>
      <c r="F65" s="2" t="n"/>
      <c r="G65" s="2" t="n"/>
      <c r="H65" s="2" t="n"/>
      <c r="I65" s="2" t="n"/>
    </row>
    <row r="66" ht="14.25" customHeight="1" s="46">
      <c r="A66" s="2" t="n"/>
      <c r="B66" s="2" t="n"/>
      <c r="C66" s="2" t="n"/>
      <c r="D66" s="2" t="n"/>
      <c r="E66" s="2" t="n"/>
      <c r="F66" s="2" t="n"/>
      <c r="G66" s="2" t="n"/>
      <c r="H66" s="2" t="n"/>
      <c r="I66" s="2" t="n"/>
    </row>
    <row r="67" ht="14.25" customHeight="1" s="46">
      <c r="A67" s="2" t="n"/>
      <c r="B67" s="2" t="n"/>
      <c r="C67" s="2" t="n"/>
      <c r="D67" s="2" t="n"/>
      <c r="E67" s="2" t="n"/>
      <c r="F67" s="2" t="n"/>
      <c r="G67" s="2" t="n"/>
      <c r="H67" s="2" t="n"/>
      <c r="I67" s="2" t="n"/>
    </row>
    <row r="68" ht="14.25" customHeight="1" s="46">
      <c r="A68" s="2" t="n"/>
      <c r="B68" s="2" t="n"/>
      <c r="C68" s="2" t="n"/>
      <c r="D68" s="2" t="n"/>
      <c r="E68" s="2" t="n"/>
      <c r="F68" s="2" t="n"/>
      <c r="G68" s="2" t="n"/>
      <c r="H68" s="2" t="n"/>
      <c r="I68" s="2" t="n"/>
    </row>
    <row r="69" ht="14.25" customHeight="1" s="46">
      <c r="A69" s="2" t="n"/>
      <c r="B69" s="2" t="n"/>
      <c r="C69" s="2" t="n"/>
      <c r="D69" s="2" t="n"/>
      <c r="E69" s="2" t="n"/>
      <c r="F69" s="2" t="n"/>
      <c r="G69" s="2" t="n"/>
      <c r="H69" s="2" t="n"/>
      <c r="I69" s="2" t="n"/>
    </row>
    <row r="70" ht="14.25" customHeight="1" s="46">
      <c r="A70" s="2" t="n"/>
      <c r="B70" s="2" t="n"/>
      <c r="C70" s="2" t="n"/>
      <c r="D70" s="2" t="n"/>
      <c r="E70" s="2" t="n"/>
      <c r="F70" s="2" t="n"/>
      <c r="G70" s="2" t="n"/>
      <c r="H70" s="2" t="n"/>
      <c r="I70" s="2" t="n"/>
    </row>
    <row r="71" ht="14.25" customHeight="1" s="46">
      <c r="A71" s="2" t="n"/>
      <c r="B71" s="2" t="n"/>
      <c r="C71" s="2" t="n"/>
      <c r="D71" s="2" t="n"/>
      <c r="E71" s="2" t="n"/>
      <c r="F71" s="2" t="n"/>
      <c r="G71" s="2" t="n"/>
      <c r="H71" s="2" t="n"/>
      <c r="I71" s="2" t="n"/>
    </row>
    <row r="72" ht="14.25" customHeight="1" s="46">
      <c r="A72" s="2" t="n"/>
      <c r="B72" s="2" t="n"/>
      <c r="C72" s="2" t="n"/>
      <c r="D72" s="2" t="n"/>
      <c r="E72" s="2" t="n"/>
      <c r="F72" s="2" t="n"/>
      <c r="G72" s="2" t="n"/>
      <c r="H72" s="2" t="n"/>
      <c r="I72" s="2" t="n"/>
    </row>
    <row r="73" ht="14.25" customHeight="1" s="46">
      <c r="A73" s="2" t="n"/>
      <c r="B73" s="2" t="n"/>
      <c r="C73" s="2" t="n"/>
      <c r="D73" s="2" t="n"/>
      <c r="E73" s="2" t="n"/>
      <c r="F73" s="2" t="n"/>
      <c r="G73" s="2" t="n"/>
      <c r="H73" s="2" t="n"/>
      <c r="I73" s="2" t="n"/>
    </row>
    <row r="74" ht="14.25" customHeight="1" s="46">
      <c r="A74" s="2" t="n"/>
      <c r="B74" s="2" t="n"/>
      <c r="C74" s="2" t="n"/>
      <c r="D74" s="2" t="n"/>
      <c r="E74" s="2" t="n"/>
      <c r="F74" s="2" t="n"/>
      <c r="G74" s="2" t="n"/>
      <c r="H74" s="2" t="n"/>
      <c r="I74" s="2" t="n"/>
    </row>
    <row r="75" ht="14.25" customHeight="1" s="46">
      <c r="A75" s="2" t="n"/>
      <c r="B75" s="2" t="n"/>
      <c r="C75" s="2" t="n"/>
      <c r="D75" s="2" t="n"/>
      <c r="E75" s="2" t="n"/>
      <c r="F75" s="2" t="n"/>
      <c r="G75" s="2" t="n"/>
      <c r="H75" s="2" t="n"/>
      <c r="I75" s="2" t="n"/>
    </row>
    <row r="76" ht="14.25" customHeight="1" s="46">
      <c r="A76" s="2" t="n"/>
      <c r="B76" s="2" t="n"/>
      <c r="C76" s="2" t="n"/>
      <c r="D76" s="2" t="n"/>
      <c r="E76" s="2" t="n"/>
      <c r="F76" s="2" t="n"/>
      <c r="G76" s="2" t="n"/>
      <c r="H76" s="2" t="n"/>
      <c r="I76" s="2" t="n"/>
    </row>
    <row r="77" ht="14.25" customHeight="1" s="46">
      <c r="A77" s="2" t="n"/>
      <c r="B77" s="2" t="n"/>
      <c r="C77" s="2" t="n"/>
      <c r="D77" s="2" t="n"/>
      <c r="E77" s="2" t="n"/>
      <c r="F77" s="2" t="n"/>
      <c r="G77" s="2" t="n"/>
      <c r="H77" s="2" t="n"/>
      <c r="I77" s="2" t="n"/>
    </row>
    <row r="78" ht="14.25" customHeight="1" s="46">
      <c r="A78" s="2" t="n"/>
      <c r="B78" s="2" t="n"/>
      <c r="C78" s="2" t="n"/>
      <c r="D78" s="2" t="n"/>
      <c r="E78" s="2" t="n"/>
      <c r="F78" s="2" t="n"/>
      <c r="G78" s="2" t="n"/>
      <c r="H78" s="2" t="n"/>
      <c r="I78" s="2" t="n"/>
    </row>
    <row r="79" ht="14.25" customHeight="1" s="46">
      <c r="A79" s="2" t="n"/>
      <c r="B79" s="2" t="n"/>
      <c r="C79" s="2" t="n"/>
      <c r="D79" s="2" t="n"/>
      <c r="E79" s="2" t="n"/>
      <c r="F79" s="2" t="n"/>
      <c r="G79" s="2" t="n"/>
      <c r="H79" s="2" t="n"/>
      <c r="I79" s="2" t="n"/>
    </row>
    <row r="80" ht="14.25" customHeight="1" s="46">
      <c r="A80" s="2" t="n"/>
      <c r="B80" s="2" t="n"/>
      <c r="C80" s="2" t="n"/>
      <c r="D80" s="2" t="n"/>
      <c r="E80" s="2" t="n"/>
      <c r="F80" s="2" t="n"/>
      <c r="G80" s="2" t="n"/>
      <c r="H80" s="2" t="n"/>
      <c r="I80" s="2" t="n"/>
    </row>
    <row r="81" ht="14.25" customHeight="1" s="46">
      <c r="A81" s="2" t="n"/>
      <c r="B81" s="2" t="n"/>
      <c r="C81" s="2" t="n"/>
      <c r="D81" s="2" t="n"/>
      <c r="E81" s="2" t="n"/>
      <c r="F81" s="2" t="n"/>
      <c r="G81" s="2" t="n"/>
      <c r="H81" s="2" t="n"/>
      <c r="I81" s="2" t="n"/>
    </row>
    <row r="82" ht="14.25" customHeight="1" s="46">
      <c r="A82" s="2" t="n"/>
      <c r="B82" s="2" t="n"/>
      <c r="C82" s="2" t="n"/>
      <c r="D82" s="2" t="n"/>
      <c r="E82" s="2" t="n"/>
      <c r="F82" s="2" t="n"/>
      <c r="G82" s="2" t="n"/>
      <c r="H82" s="2" t="n"/>
      <c r="I82" s="2" t="n"/>
    </row>
    <row r="83" ht="14.25" customHeight="1" s="46">
      <c r="A83" s="2" t="n"/>
      <c r="B83" s="2" t="n"/>
      <c r="C83" s="2" t="n"/>
      <c r="D83" s="2" t="n"/>
      <c r="E83" s="2" t="n"/>
      <c r="F83" s="2" t="n"/>
      <c r="G83" s="2" t="n"/>
      <c r="H83" s="2" t="n"/>
      <c r="I83" s="2" t="n"/>
    </row>
    <row r="84" ht="14.25" customHeight="1" s="46">
      <c r="A84" s="2" t="n"/>
      <c r="B84" s="2" t="n"/>
      <c r="C84" s="2" t="n"/>
      <c r="D84" s="2" t="n"/>
      <c r="E84" s="2" t="n"/>
      <c r="F84" s="2" t="n"/>
      <c r="G84" s="2" t="n"/>
      <c r="H84" s="2" t="n"/>
      <c r="I84" s="2" t="n"/>
    </row>
    <row r="85" ht="14.25" customHeight="1" s="46">
      <c r="A85" s="2" t="n"/>
      <c r="B85" s="2" t="n"/>
      <c r="C85" s="2" t="n"/>
      <c r="D85" s="2" t="n"/>
      <c r="E85" s="2" t="n"/>
      <c r="F85" s="2" t="n"/>
      <c r="G85" s="2" t="n"/>
      <c r="H85" s="2" t="n"/>
      <c r="I85" s="2" t="n"/>
    </row>
    <row r="86" ht="14.25" customHeight="1" s="46">
      <c r="A86" s="2" t="n"/>
      <c r="B86" s="2" t="n"/>
      <c r="C86" s="2" t="n"/>
      <c r="D86" s="2" t="n"/>
      <c r="E86" s="2" t="n"/>
      <c r="F86" s="2" t="n"/>
      <c r="G86" s="2" t="n"/>
      <c r="H86" s="2" t="n"/>
      <c r="I86" s="2" t="n"/>
    </row>
    <row r="87" ht="14.25" customHeight="1" s="46">
      <c r="A87" s="2" t="n"/>
      <c r="B87" s="2" t="n"/>
      <c r="C87" s="2" t="n"/>
      <c r="D87" s="2" t="n"/>
      <c r="E87" s="2" t="n"/>
      <c r="F87" s="2" t="n"/>
      <c r="G87" s="2" t="n"/>
      <c r="H87" s="2" t="n"/>
      <c r="I87" s="2" t="n"/>
    </row>
    <row r="88" ht="14.25" customHeight="1" s="46">
      <c r="A88" s="2" t="n"/>
      <c r="B88" s="2" t="n"/>
      <c r="C88" s="2" t="n"/>
      <c r="D88" s="2" t="n"/>
      <c r="E88" s="2" t="n"/>
      <c r="F88" s="2" t="n"/>
      <c r="G88" s="2" t="n"/>
      <c r="H88" s="2" t="n"/>
      <c r="I88" s="2" t="n"/>
    </row>
    <row r="89" ht="14.25" customHeight="1" s="46">
      <c r="A89" s="2" t="n"/>
      <c r="B89" s="2" t="n"/>
      <c r="C89" s="2" t="n"/>
      <c r="D89" s="2" t="n"/>
      <c r="E89" s="2" t="n"/>
      <c r="F89" s="2" t="n"/>
      <c r="G89" s="2" t="n"/>
      <c r="H89" s="2" t="n"/>
      <c r="I89" s="2" t="n"/>
    </row>
    <row r="90" ht="14.25" customHeight="1" s="46">
      <c r="A90" s="2" t="n"/>
      <c r="B90" s="2" t="n"/>
      <c r="C90" s="2" t="n"/>
      <c r="D90" s="2" t="n"/>
      <c r="E90" s="2" t="n"/>
      <c r="F90" s="2" t="n"/>
      <c r="G90" s="2" t="n"/>
      <c r="H90" s="2" t="n"/>
      <c r="I90" s="2" t="n"/>
    </row>
    <row r="91" ht="14.25" customHeight="1" s="46">
      <c r="A91" s="2" t="n"/>
      <c r="B91" s="2" t="n"/>
      <c r="C91" s="2" t="n"/>
      <c r="D91" s="2" t="n"/>
      <c r="E91" s="2" t="n"/>
      <c r="F91" s="2" t="n"/>
      <c r="G91" s="2" t="n"/>
      <c r="H91" s="2" t="n"/>
      <c r="I91" s="2" t="n"/>
    </row>
    <row r="92" ht="14.25" customHeight="1" s="46">
      <c r="A92" s="2" t="n"/>
      <c r="B92" s="2" t="n"/>
      <c r="C92" s="2" t="n"/>
      <c r="D92" s="2" t="n"/>
      <c r="E92" s="2" t="n"/>
      <c r="F92" s="2" t="n"/>
      <c r="G92" s="2" t="n"/>
      <c r="H92" s="2" t="n"/>
      <c r="I92" s="2" t="n"/>
    </row>
    <row r="93" ht="14.25" customHeight="1" s="46">
      <c r="A93" s="2" t="n"/>
      <c r="B93" s="2" t="n"/>
      <c r="C93" s="2" t="n"/>
      <c r="D93" s="2" t="n"/>
      <c r="E93" s="2" t="n"/>
      <c r="F93" s="2" t="n"/>
      <c r="G93" s="2" t="n"/>
      <c r="H93" s="2" t="n"/>
      <c r="I93" s="2" t="n"/>
    </row>
    <row r="94" ht="14.25" customHeight="1" s="46">
      <c r="A94" s="2" t="n"/>
      <c r="B94" s="2" t="n"/>
      <c r="C94" s="2" t="n"/>
      <c r="D94" s="2" t="n"/>
      <c r="E94" s="2" t="n"/>
      <c r="F94" s="2" t="n"/>
      <c r="G94" s="2" t="n"/>
      <c r="H94" s="2" t="n"/>
      <c r="I94" s="2" t="n"/>
    </row>
    <row r="95" ht="14.25" customHeight="1" s="46">
      <c r="A95" s="2" t="n"/>
      <c r="B95" s="2" t="n"/>
      <c r="C95" s="2" t="n"/>
      <c r="D95" s="2" t="n"/>
      <c r="E95" s="2" t="n"/>
      <c r="F95" s="2" t="n"/>
      <c r="G95" s="2" t="n"/>
      <c r="H95" s="2" t="n"/>
      <c r="I95" s="2" t="n"/>
    </row>
    <row r="96" ht="14.25" customHeight="1" s="46">
      <c r="A96" s="2" t="n"/>
      <c r="B96" s="2" t="n"/>
      <c r="C96" s="2" t="n"/>
      <c r="D96" s="2" t="n"/>
      <c r="E96" s="2" t="n"/>
      <c r="F96" s="2" t="n"/>
      <c r="G96" s="2" t="n"/>
      <c r="H96" s="2" t="n"/>
      <c r="I96" s="2" t="n"/>
    </row>
    <row r="97" ht="14.25" customHeight="1" s="46">
      <c r="A97" s="2" t="n"/>
      <c r="B97" s="2" t="n"/>
      <c r="C97" s="2" t="n"/>
      <c r="D97" s="2" t="n"/>
      <c r="E97" s="2" t="n"/>
      <c r="F97" s="2" t="n"/>
      <c r="G97" s="2" t="n"/>
      <c r="H97" s="2" t="n"/>
      <c r="I97" s="2" t="n"/>
    </row>
    <row r="98" ht="14.25" customHeight="1" s="46">
      <c r="A98" s="2" t="n"/>
      <c r="B98" s="2" t="n"/>
      <c r="C98" s="2" t="n"/>
      <c r="D98" s="2" t="n"/>
      <c r="E98" s="2" t="n"/>
      <c r="F98" s="2" t="n"/>
      <c r="G98" s="2" t="n"/>
      <c r="H98" s="2" t="n"/>
      <c r="I98" s="2" t="n"/>
    </row>
    <row r="99" ht="14.25" customHeight="1" s="46">
      <c r="A99" s="2" t="n"/>
      <c r="B99" s="2" t="n"/>
      <c r="C99" s="2" t="n"/>
      <c r="D99" s="2" t="n"/>
      <c r="E99" s="2" t="n"/>
      <c r="F99" s="2" t="n"/>
      <c r="G99" s="2" t="n"/>
      <c r="H99" s="2" t="n"/>
      <c r="I99" s="2" t="n"/>
    </row>
    <row r="100" ht="14.25" customHeight="1" s="46">
      <c r="A100" s="2" t="n"/>
      <c r="B100" s="2" t="n"/>
      <c r="C100" s="2" t="n"/>
      <c r="D100" s="2" t="n"/>
      <c r="E100" s="2" t="n"/>
      <c r="F100" s="2" t="n"/>
      <c r="G100" s="2" t="n"/>
      <c r="H100" s="2" t="n"/>
      <c r="I100" s="2" t="n"/>
    </row>
    <row r="101" ht="14.25" customHeight="1" s="46">
      <c r="A101" s="2" t="n"/>
      <c r="B101" s="2" t="n"/>
      <c r="C101" s="2" t="n"/>
      <c r="D101" s="2" t="n"/>
      <c r="E101" s="2" t="n"/>
      <c r="F101" s="2" t="n"/>
      <c r="G101" s="2" t="n"/>
      <c r="H101" s="2" t="n"/>
      <c r="I101" s="2" t="n"/>
    </row>
    <row r="102" ht="14.25" customHeight="1" s="46">
      <c r="A102" s="2" t="n"/>
      <c r="B102" s="2" t="n"/>
      <c r="C102" s="2" t="n"/>
      <c r="D102" s="2" t="n"/>
      <c r="E102" s="2" t="n"/>
      <c r="F102" s="2" t="n"/>
      <c r="G102" s="2" t="n"/>
      <c r="H102" s="2" t="n"/>
      <c r="I102" s="2" t="n"/>
    </row>
    <row r="103" ht="14.25" customHeight="1" s="46">
      <c r="A103" s="2" t="n"/>
      <c r="B103" s="2" t="n"/>
      <c r="C103" s="2" t="n"/>
      <c r="D103" s="2" t="n"/>
      <c r="E103" s="2" t="n"/>
      <c r="F103" s="2" t="n"/>
      <c r="G103" s="2" t="n"/>
      <c r="H103" s="2" t="n"/>
      <c r="I103" s="2" t="n"/>
    </row>
    <row r="104" ht="14.25" customHeight="1" s="46">
      <c r="A104" s="2" t="n"/>
      <c r="B104" s="2" t="n"/>
      <c r="C104" s="2" t="n"/>
      <c r="D104" s="2" t="n"/>
      <c r="E104" s="2" t="n"/>
      <c r="F104" s="2" t="n"/>
      <c r="G104" s="2" t="n"/>
      <c r="H104" s="2" t="n"/>
      <c r="I104" s="2" t="n"/>
    </row>
    <row r="105" ht="14.25" customHeight="1" s="46">
      <c r="A105" s="2" t="n"/>
      <c r="B105" s="2" t="n"/>
      <c r="C105" s="2" t="n"/>
      <c r="D105" s="2" t="n"/>
      <c r="E105" s="2" t="n"/>
      <c r="F105" s="2" t="n"/>
      <c r="G105" s="2" t="n"/>
      <c r="H105" s="2" t="n"/>
      <c r="I105" s="2" t="n"/>
    </row>
    <row r="106" ht="14.25" customHeight="1" s="46">
      <c r="A106" s="2" t="n"/>
      <c r="B106" s="2" t="n"/>
      <c r="C106" s="2" t="n"/>
      <c r="D106" s="2" t="n"/>
      <c r="E106" s="2" t="n"/>
      <c r="F106" s="2" t="n"/>
      <c r="G106" s="2" t="n"/>
      <c r="H106" s="2" t="n"/>
      <c r="I106" s="2" t="n"/>
    </row>
    <row r="107" ht="14.25" customHeight="1" s="46">
      <c r="A107" s="2" t="n"/>
      <c r="B107" s="2" t="n"/>
      <c r="C107" s="2" t="n"/>
      <c r="D107" s="2" t="n"/>
      <c r="E107" s="2" t="n"/>
      <c r="F107" s="2" t="n"/>
      <c r="G107" s="2" t="n"/>
      <c r="H107" s="2" t="n"/>
      <c r="I107" s="2" t="n"/>
    </row>
    <row r="108" ht="14.25" customHeight="1" s="46">
      <c r="A108" s="2" t="n"/>
      <c r="B108" s="2" t="n"/>
      <c r="C108" s="2" t="n"/>
      <c r="D108" s="2" t="n"/>
      <c r="E108" s="2" t="n"/>
      <c r="F108" s="2" t="n"/>
      <c r="G108" s="2" t="n"/>
      <c r="H108" s="2" t="n"/>
      <c r="I108" s="2" t="n"/>
    </row>
    <row r="109" ht="14.25" customHeight="1" s="46">
      <c r="A109" s="2" t="n"/>
      <c r="B109" s="2" t="n"/>
      <c r="C109" s="2" t="n"/>
      <c r="D109" s="2" t="n"/>
      <c r="E109" s="2" t="n"/>
      <c r="F109" s="2" t="n"/>
      <c r="G109" s="2" t="n"/>
      <c r="H109" s="2" t="n"/>
      <c r="I109" s="2" t="n"/>
    </row>
    <row r="110" ht="14.25" customHeight="1" s="46">
      <c r="A110" s="2" t="n"/>
      <c r="B110" s="2" t="n"/>
      <c r="C110" s="2" t="n"/>
      <c r="D110" s="2" t="n"/>
      <c r="E110" s="2" t="n"/>
      <c r="F110" s="2" t="n"/>
      <c r="G110" s="2" t="n"/>
      <c r="H110" s="2" t="n"/>
      <c r="I110" s="2" t="n"/>
    </row>
    <row r="111" ht="14.25" customHeight="1" s="46">
      <c r="A111" s="2" t="n"/>
      <c r="B111" s="2" t="n"/>
      <c r="C111" s="2" t="n"/>
      <c r="D111" s="2" t="n"/>
      <c r="E111" s="2" t="n"/>
      <c r="F111" s="2" t="n"/>
      <c r="G111" s="2" t="n"/>
      <c r="H111" s="2" t="n"/>
      <c r="I111" s="2" t="n"/>
    </row>
    <row r="112" ht="14.25" customHeight="1" s="46">
      <c r="A112" s="2" t="n"/>
      <c r="B112" s="2" t="n"/>
      <c r="C112" s="2" t="n"/>
      <c r="D112" s="2" t="n"/>
      <c r="E112" s="2" t="n"/>
      <c r="F112" s="2" t="n"/>
      <c r="G112" s="2" t="n"/>
      <c r="H112" s="2" t="n"/>
      <c r="I112" s="2" t="n"/>
    </row>
    <row r="113" ht="14.25" customHeight="1" s="46">
      <c r="A113" s="2" t="n"/>
      <c r="B113" s="2" t="n"/>
      <c r="C113" s="2" t="n"/>
      <c r="D113" s="2" t="n"/>
      <c r="E113" s="2" t="n"/>
      <c r="F113" s="2" t="n"/>
      <c r="G113" s="2" t="n"/>
      <c r="H113" s="2" t="n"/>
      <c r="I113" s="2" t="n"/>
    </row>
    <row r="114" ht="14.25" customHeight="1" s="46">
      <c r="A114" s="2" t="n"/>
      <c r="B114" s="2" t="n"/>
      <c r="C114" s="2" t="n"/>
      <c r="D114" s="2" t="n"/>
      <c r="E114" s="2" t="n"/>
      <c r="F114" s="2" t="n"/>
      <c r="G114" s="2" t="n"/>
      <c r="H114" s="2" t="n"/>
      <c r="I114" s="2" t="n"/>
    </row>
    <row r="115" ht="14.25" customHeight="1" s="46">
      <c r="A115" s="2" t="n"/>
      <c r="B115" s="2" t="n"/>
      <c r="C115" s="2" t="n"/>
      <c r="D115" s="2" t="n"/>
      <c r="E115" s="2" t="n"/>
      <c r="F115" s="2" t="n"/>
      <c r="G115" s="2" t="n"/>
      <c r="H115" s="2" t="n"/>
      <c r="I115" s="2" t="n"/>
    </row>
    <row r="116" ht="14.25" customHeight="1" s="46">
      <c r="A116" s="2" t="n"/>
      <c r="B116" s="2" t="n"/>
      <c r="C116" s="2" t="n"/>
      <c r="D116" s="2" t="n"/>
      <c r="E116" s="2" t="n"/>
      <c r="F116" s="2" t="n"/>
      <c r="G116" s="2" t="n"/>
      <c r="H116" s="2" t="n"/>
      <c r="I116" s="2" t="n"/>
    </row>
    <row r="117" ht="14.25" customHeight="1" s="46">
      <c r="A117" s="2" t="n"/>
      <c r="B117" s="2" t="n"/>
      <c r="C117" s="2" t="n"/>
      <c r="D117" s="2" t="n"/>
      <c r="E117" s="2" t="n"/>
      <c r="F117" s="2" t="n"/>
      <c r="G117" s="2" t="n"/>
      <c r="H117" s="2" t="n"/>
      <c r="I117" s="2" t="n"/>
    </row>
    <row r="118" ht="14.25" customHeight="1" s="46">
      <c r="A118" s="2" t="n"/>
      <c r="B118" s="2" t="n"/>
      <c r="C118" s="2" t="n"/>
      <c r="D118" s="2" t="n"/>
      <c r="E118" s="2" t="n"/>
      <c r="F118" s="2" t="n"/>
      <c r="G118" s="2" t="n"/>
      <c r="H118" s="2" t="n"/>
      <c r="I118" s="2" t="n"/>
    </row>
    <row r="119" ht="14.25" customHeight="1" s="46">
      <c r="A119" s="2" t="n"/>
      <c r="B119" s="2" t="n"/>
      <c r="C119" s="2" t="n"/>
      <c r="D119" s="2" t="n"/>
      <c r="E119" s="2" t="n"/>
      <c r="F119" s="2" t="n"/>
      <c r="G119" s="2" t="n"/>
      <c r="H119" s="2" t="n"/>
      <c r="I119" s="2" t="n"/>
    </row>
    <row r="120" ht="14.25" customHeight="1" s="46">
      <c r="A120" s="2" t="n"/>
      <c r="B120" s="2" t="n"/>
      <c r="C120" s="2" t="n"/>
      <c r="D120" s="2" t="n"/>
      <c r="E120" s="2" t="n"/>
      <c r="F120" s="2" t="n"/>
      <c r="G120" s="2" t="n"/>
      <c r="H120" s="2" t="n"/>
      <c r="I120" s="2" t="n"/>
    </row>
    <row r="121" ht="14.25" customHeight="1" s="46">
      <c r="A121" s="2" t="n"/>
      <c r="B121" s="2" t="n"/>
      <c r="C121" s="2" t="n"/>
      <c r="D121" s="2" t="n"/>
      <c r="E121" s="2" t="n"/>
      <c r="F121" s="2" t="n"/>
      <c r="G121" s="2" t="n"/>
      <c r="H121" s="2" t="n"/>
      <c r="I121" s="2" t="n"/>
    </row>
    <row r="122" ht="14.25" customHeight="1" s="46">
      <c r="A122" s="2" t="n"/>
      <c r="B122" s="2" t="n"/>
      <c r="C122" s="2" t="n"/>
      <c r="D122" s="2" t="n"/>
      <c r="E122" s="2" t="n"/>
      <c r="F122" s="2" t="n"/>
      <c r="G122" s="2" t="n"/>
      <c r="H122" s="2" t="n"/>
      <c r="I122" s="2" t="n"/>
    </row>
    <row r="123" ht="14.25" customHeight="1" s="46">
      <c r="A123" s="2" t="n"/>
      <c r="B123" s="2" t="n"/>
      <c r="C123" s="2" t="n"/>
      <c r="D123" s="2" t="n"/>
      <c r="E123" s="2" t="n"/>
      <c r="F123" s="2" t="n"/>
      <c r="G123" s="2" t="n"/>
      <c r="H123" s="2" t="n"/>
      <c r="I123" s="2" t="n"/>
    </row>
    <row r="124" ht="14.25" customHeight="1" s="46">
      <c r="A124" s="2" t="n"/>
      <c r="B124" s="2" t="n"/>
      <c r="C124" s="2" t="n"/>
      <c r="D124" s="2" t="n"/>
      <c r="E124" s="2" t="n"/>
      <c r="F124" s="2" t="n"/>
      <c r="G124" s="2" t="n"/>
      <c r="H124" s="2" t="n"/>
      <c r="I124" s="2" t="n"/>
    </row>
    <row r="125" ht="14.25" customHeight="1" s="46">
      <c r="A125" s="2" t="n"/>
      <c r="B125" s="2" t="n"/>
      <c r="C125" s="2" t="n"/>
      <c r="D125" s="2" t="n"/>
      <c r="E125" s="2" t="n"/>
      <c r="F125" s="2" t="n"/>
      <c r="G125" s="2" t="n"/>
      <c r="H125" s="2" t="n"/>
      <c r="I125" s="2" t="n"/>
    </row>
    <row r="126" ht="14.25" customHeight="1" s="46">
      <c r="A126" s="2" t="n"/>
      <c r="B126" s="2" t="n"/>
      <c r="C126" s="2" t="n"/>
      <c r="D126" s="2" t="n"/>
      <c r="E126" s="2" t="n"/>
      <c r="F126" s="2" t="n"/>
      <c r="G126" s="2" t="n"/>
      <c r="H126" s="2" t="n"/>
      <c r="I126" s="2" t="n"/>
    </row>
    <row r="127" ht="14.25" customHeight="1" s="46">
      <c r="A127" s="2" t="n"/>
      <c r="B127" s="2" t="n"/>
      <c r="C127" s="2" t="n"/>
      <c r="D127" s="2" t="n"/>
      <c r="E127" s="2" t="n"/>
      <c r="F127" s="2" t="n"/>
      <c r="G127" s="2" t="n"/>
      <c r="H127" s="2" t="n"/>
      <c r="I127" s="2" t="n"/>
    </row>
    <row r="128" ht="14.25" customHeight="1" s="46">
      <c r="A128" s="2" t="n"/>
      <c r="B128" s="2" t="n"/>
      <c r="C128" s="2" t="n"/>
      <c r="D128" s="2" t="n"/>
      <c r="E128" s="2" t="n"/>
      <c r="F128" s="2" t="n"/>
      <c r="G128" s="2" t="n"/>
      <c r="H128" s="2" t="n"/>
      <c r="I128" s="2" t="n"/>
    </row>
    <row r="129" ht="14.25" customHeight="1" s="46">
      <c r="A129" s="2" t="n"/>
      <c r="B129" s="2" t="n"/>
      <c r="C129" s="2" t="n"/>
      <c r="D129" s="2" t="n"/>
      <c r="E129" s="2" t="n"/>
      <c r="F129" s="2" t="n"/>
      <c r="G129" s="2" t="n"/>
      <c r="H129" s="2" t="n"/>
      <c r="I129" s="2" t="n"/>
    </row>
    <row r="130" ht="14.25" customHeight="1" s="46">
      <c r="A130" s="2" t="n"/>
      <c r="B130" s="2" t="n"/>
      <c r="C130" s="2" t="n"/>
      <c r="D130" s="2" t="n"/>
      <c r="E130" s="2" t="n"/>
      <c r="F130" s="2" t="n"/>
      <c r="G130" s="2" t="n"/>
      <c r="H130" s="2" t="n"/>
      <c r="I130" s="2" t="n"/>
    </row>
    <row r="131" ht="14.25" customHeight="1" s="46">
      <c r="A131" s="2" t="n"/>
      <c r="B131" s="2" t="n"/>
      <c r="C131" s="2" t="n"/>
      <c r="D131" s="2" t="n"/>
      <c r="E131" s="2" t="n"/>
      <c r="F131" s="2" t="n"/>
      <c r="G131" s="2" t="n"/>
      <c r="H131" s="2" t="n"/>
      <c r="I131" s="2" t="n"/>
    </row>
    <row r="132" ht="14.25" customHeight="1" s="46">
      <c r="A132" s="2" t="n"/>
      <c r="B132" s="2" t="n"/>
      <c r="C132" s="2" t="n"/>
      <c r="D132" s="2" t="n"/>
      <c r="E132" s="2" t="n"/>
      <c r="F132" s="2" t="n"/>
      <c r="G132" s="2" t="n"/>
      <c r="H132" s="2" t="n"/>
      <c r="I132" s="2" t="n"/>
    </row>
    <row r="133" ht="14.25" customHeight="1" s="46">
      <c r="A133" s="2" t="n"/>
      <c r="B133" s="2" t="n"/>
      <c r="C133" s="2" t="n"/>
      <c r="D133" s="2" t="n"/>
      <c r="E133" s="2" t="n"/>
      <c r="F133" s="2" t="n"/>
      <c r="G133" s="2" t="n"/>
      <c r="H133" s="2" t="n"/>
      <c r="I133" s="2" t="n"/>
    </row>
    <row r="134" ht="14.25" customHeight="1" s="46">
      <c r="A134" s="2" t="n"/>
      <c r="B134" s="2" t="n"/>
      <c r="C134" s="2" t="n"/>
      <c r="D134" s="2" t="n"/>
      <c r="E134" s="2" t="n"/>
      <c r="F134" s="2" t="n"/>
      <c r="G134" s="2" t="n"/>
      <c r="H134" s="2" t="n"/>
      <c r="I134" s="2" t="n"/>
    </row>
    <row r="135" ht="14.25" customHeight="1" s="46">
      <c r="A135" s="2" t="n"/>
      <c r="B135" s="2" t="n"/>
      <c r="C135" s="2" t="n"/>
      <c r="D135" s="2" t="n"/>
      <c r="E135" s="2" t="n"/>
      <c r="F135" s="2" t="n"/>
      <c r="G135" s="2" t="n"/>
      <c r="H135" s="2" t="n"/>
      <c r="I135" s="2" t="n"/>
    </row>
    <row r="136" ht="14.25" customHeight="1" s="46">
      <c r="A136" s="2" t="n"/>
      <c r="B136" s="2" t="n"/>
      <c r="C136" s="2" t="n"/>
      <c r="D136" s="2" t="n"/>
      <c r="E136" s="2" t="n"/>
      <c r="F136" s="2" t="n"/>
      <c r="G136" s="2" t="n"/>
      <c r="H136" s="2" t="n"/>
      <c r="I136" s="2" t="n"/>
    </row>
    <row r="137" ht="14.25" customHeight="1" s="46">
      <c r="A137" s="2" t="n"/>
      <c r="B137" s="2" t="n"/>
      <c r="C137" s="2" t="n"/>
      <c r="D137" s="2" t="n"/>
      <c r="E137" s="2" t="n"/>
      <c r="F137" s="2" t="n"/>
      <c r="G137" s="2" t="n"/>
      <c r="H137" s="2" t="n"/>
      <c r="I137" s="2" t="n"/>
    </row>
    <row r="138" ht="14.25" customHeight="1" s="46">
      <c r="A138" s="2" t="n"/>
      <c r="B138" s="2" t="n"/>
      <c r="C138" s="2" t="n"/>
      <c r="D138" s="2" t="n"/>
      <c r="E138" s="2" t="n"/>
      <c r="F138" s="2" t="n"/>
      <c r="G138" s="2" t="n"/>
      <c r="H138" s="2" t="n"/>
      <c r="I138" s="2" t="n"/>
    </row>
    <row r="139" ht="14.25" customHeight="1" s="46">
      <c r="A139" s="2" t="n"/>
      <c r="B139" s="2" t="n"/>
      <c r="C139" s="2" t="n"/>
      <c r="D139" s="2" t="n"/>
      <c r="E139" s="2" t="n"/>
      <c r="F139" s="2" t="n"/>
      <c r="G139" s="2" t="n"/>
      <c r="H139" s="2" t="n"/>
      <c r="I139" s="2" t="n"/>
    </row>
    <row r="140" ht="14.25" customHeight="1" s="46">
      <c r="A140" s="2" t="n"/>
      <c r="B140" s="2" t="n"/>
      <c r="C140" s="2" t="n"/>
      <c r="D140" s="2" t="n"/>
      <c r="E140" s="2" t="n"/>
      <c r="F140" s="2" t="n"/>
      <c r="G140" s="2" t="n"/>
      <c r="H140" s="2" t="n"/>
      <c r="I140" s="2" t="n"/>
    </row>
    <row r="141" ht="14.25" customHeight="1" s="46">
      <c r="A141" s="2" t="n"/>
      <c r="B141" s="2" t="n"/>
      <c r="C141" s="2" t="n"/>
      <c r="D141" s="2" t="n"/>
      <c r="E141" s="2" t="n"/>
      <c r="F141" s="2" t="n"/>
      <c r="G141" s="2" t="n"/>
      <c r="H141" s="2" t="n"/>
      <c r="I141" s="2" t="n"/>
    </row>
    <row r="142" ht="14.25" customHeight="1" s="46">
      <c r="A142" s="2" t="n"/>
      <c r="B142" s="2" t="n"/>
      <c r="C142" s="2" t="n"/>
      <c r="D142" s="2" t="n"/>
      <c r="E142" s="2" t="n"/>
      <c r="F142" s="2" t="n"/>
      <c r="G142" s="2" t="n"/>
      <c r="H142" s="2" t="n"/>
      <c r="I142" s="2" t="n"/>
    </row>
    <row r="143" ht="14.25" customHeight="1" s="46">
      <c r="A143" s="2" t="n"/>
      <c r="B143" s="2" t="n"/>
      <c r="C143" s="2" t="n"/>
      <c r="D143" s="2" t="n"/>
      <c r="E143" s="2" t="n"/>
      <c r="F143" s="2" t="n"/>
      <c r="G143" s="2" t="n"/>
      <c r="H143" s="2" t="n"/>
      <c r="I143" s="2" t="n"/>
    </row>
    <row r="144" ht="14.25" customHeight="1" s="46">
      <c r="A144" s="2" t="n"/>
      <c r="B144" s="2" t="n"/>
      <c r="C144" s="2" t="n"/>
      <c r="D144" s="2" t="n"/>
      <c r="E144" s="2" t="n"/>
      <c r="F144" s="2" t="n"/>
      <c r="G144" s="2" t="n"/>
      <c r="H144" s="2" t="n"/>
      <c r="I144" s="2" t="n"/>
    </row>
    <row r="145" ht="14.25" customHeight="1" s="46">
      <c r="A145" s="2" t="n"/>
      <c r="B145" s="2" t="n"/>
      <c r="C145" s="2" t="n"/>
      <c r="D145" s="2" t="n"/>
      <c r="E145" s="2" t="n"/>
      <c r="F145" s="2" t="n"/>
      <c r="G145" s="2" t="n"/>
      <c r="H145" s="2" t="n"/>
      <c r="I145" s="2" t="n"/>
    </row>
    <row r="146" ht="14.25" customHeight="1" s="46">
      <c r="A146" s="2" t="n"/>
      <c r="B146" s="2" t="n"/>
      <c r="C146" s="2" t="n"/>
      <c r="D146" s="2" t="n"/>
      <c r="E146" s="2" t="n"/>
      <c r="F146" s="2" t="n"/>
      <c r="G146" s="2" t="n"/>
      <c r="H146" s="2" t="n"/>
      <c r="I146" s="2" t="n"/>
    </row>
    <row r="147" ht="14.25" customHeight="1" s="46">
      <c r="A147" s="2" t="n"/>
      <c r="B147" s="2" t="n"/>
      <c r="C147" s="2" t="n"/>
      <c r="D147" s="2" t="n"/>
      <c r="E147" s="2" t="n"/>
      <c r="F147" s="2" t="n"/>
      <c r="G147" s="2" t="n"/>
      <c r="H147" s="2" t="n"/>
      <c r="I147" s="2" t="n"/>
    </row>
    <row r="148" ht="14.25" customHeight="1" s="46">
      <c r="A148" s="2" t="n"/>
      <c r="B148" s="2" t="n"/>
      <c r="C148" s="2" t="n"/>
      <c r="D148" s="2" t="n"/>
      <c r="E148" s="2" t="n"/>
      <c r="F148" s="2" t="n"/>
      <c r="G148" s="2" t="n"/>
      <c r="H148" s="2" t="n"/>
      <c r="I148" s="2" t="n"/>
    </row>
    <row r="149" ht="14.25" customHeight="1" s="46">
      <c r="A149" s="2" t="n"/>
      <c r="B149" s="2" t="n"/>
      <c r="C149" s="2" t="n"/>
      <c r="D149" s="2" t="n"/>
      <c r="E149" s="2" t="n"/>
      <c r="F149" s="2" t="n"/>
      <c r="G149" s="2" t="n"/>
      <c r="H149" s="2" t="n"/>
      <c r="I149" s="2" t="n"/>
    </row>
    <row r="150" ht="14.25" customHeight="1" s="46">
      <c r="A150" s="2" t="n"/>
      <c r="B150" s="2" t="n"/>
      <c r="C150" s="2" t="n"/>
      <c r="D150" s="2" t="n"/>
      <c r="E150" s="2" t="n"/>
      <c r="F150" s="2" t="n"/>
      <c r="G150" s="2" t="n"/>
      <c r="H150" s="2" t="n"/>
      <c r="I150" s="2" t="n"/>
    </row>
    <row r="151" ht="14.25" customHeight="1" s="46">
      <c r="A151" s="2" t="n"/>
      <c r="B151" s="2" t="n"/>
      <c r="C151" s="2" t="n"/>
      <c r="D151" s="2" t="n"/>
      <c r="E151" s="2" t="n"/>
      <c r="F151" s="2" t="n"/>
      <c r="G151" s="2" t="n"/>
      <c r="H151" s="2" t="n"/>
      <c r="I151" s="2" t="n"/>
    </row>
    <row r="152" ht="14.25" customHeight="1" s="46">
      <c r="A152" s="2" t="n"/>
      <c r="B152" s="2" t="n"/>
      <c r="C152" s="2" t="n"/>
      <c r="D152" s="2" t="n"/>
      <c r="E152" s="2" t="n"/>
      <c r="F152" s="2" t="n"/>
      <c r="G152" s="2" t="n"/>
      <c r="H152" s="2" t="n"/>
      <c r="I152" s="2" t="n"/>
    </row>
    <row r="153" ht="14.25" customHeight="1" s="46">
      <c r="A153" s="2" t="n"/>
      <c r="B153" s="2" t="n"/>
      <c r="C153" s="2" t="n"/>
      <c r="D153" s="2" t="n"/>
      <c r="E153" s="2" t="n"/>
      <c r="F153" s="2" t="n"/>
      <c r="G153" s="2" t="n"/>
      <c r="H153" s="2" t="n"/>
      <c r="I153" s="2" t="n"/>
    </row>
    <row r="154" ht="14.25" customHeight="1" s="46">
      <c r="A154" s="2" t="n"/>
      <c r="B154" s="2" t="n"/>
      <c r="C154" s="2" t="n"/>
      <c r="D154" s="2" t="n"/>
      <c r="E154" s="2" t="n"/>
      <c r="F154" s="2" t="n"/>
      <c r="G154" s="2" t="n"/>
      <c r="H154" s="2" t="n"/>
      <c r="I154" s="2" t="n"/>
    </row>
    <row r="155" ht="14.25" customHeight="1" s="46">
      <c r="A155" s="2" t="n"/>
      <c r="B155" s="2" t="n"/>
      <c r="C155" s="2" t="n"/>
      <c r="D155" s="2" t="n"/>
      <c r="E155" s="2" t="n"/>
      <c r="F155" s="2" t="n"/>
      <c r="G155" s="2" t="n"/>
      <c r="H155" s="2" t="n"/>
      <c r="I155" s="2" t="n"/>
    </row>
    <row r="156" ht="14.25" customHeight="1" s="46">
      <c r="A156" s="2" t="n"/>
      <c r="B156" s="2" t="n"/>
      <c r="C156" s="2" t="n"/>
      <c r="D156" s="2" t="n"/>
      <c r="E156" s="2" t="n"/>
      <c r="F156" s="2" t="n"/>
      <c r="G156" s="2" t="n"/>
      <c r="H156" s="2" t="n"/>
      <c r="I156" s="2" t="n"/>
    </row>
    <row r="157" ht="14.25" customHeight="1" s="46">
      <c r="A157" s="2" t="n"/>
      <c r="B157" s="2" t="n"/>
      <c r="C157" s="2" t="n"/>
      <c r="D157" s="2" t="n"/>
      <c r="E157" s="2" t="n"/>
      <c r="F157" s="2" t="n"/>
      <c r="G157" s="2" t="n"/>
      <c r="H157" s="2" t="n"/>
      <c r="I157" s="2" t="n"/>
    </row>
    <row r="158" ht="14.25" customHeight="1" s="46">
      <c r="A158" s="2" t="n"/>
      <c r="B158" s="2" t="n"/>
      <c r="C158" s="2" t="n"/>
      <c r="D158" s="2" t="n"/>
      <c r="E158" s="2" t="n"/>
      <c r="F158" s="2" t="n"/>
      <c r="G158" s="2" t="n"/>
      <c r="H158" s="2" t="n"/>
      <c r="I158" s="2" t="n"/>
    </row>
    <row r="159" ht="14.25" customHeight="1" s="46">
      <c r="A159" s="2" t="n"/>
      <c r="B159" s="2" t="n"/>
      <c r="C159" s="2" t="n"/>
      <c r="D159" s="2" t="n"/>
      <c r="E159" s="2" t="n"/>
      <c r="F159" s="2" t="n"/>
      <c r="G159" s="2" t="n"/>
      <c r="H159" s="2" t="n"/>
      <c r="I159" s="2" t="n"/>
    </row>
    <row r="160" ht="14.25" customHeight="1" s="46">
      <c r="A160" s="2" t="n"/>
      <c r="B160" s="2" t="n"/>
      <c r="C160" s="2" t="n"/>
      <c r="D160" s="2" t="n"/>
      <c r="E160" s="2" t="n"/>
      <c r="F160" s="2" t="n"/>
      <c r="G160" s="2" t="n"/>
      <c r="H160" s="2" t="n"/>
      <c r="I160" s="2" t="n"/>
    </row>
    <row r="161" ht="14.25" customHeight="1" s="46">
      <c r="A161" s="2" t="n"/>
      <c r="B161" s="2" t="n"/>
      <c r="C161" s="2" t="n"/>
      <c r="D161" s="2" t="n"/>
      <c r="E161" s="2" t="n"/>
      <c r="F161" s="2" t="n"/>
      <c r="G161" s="2" t="n"/>
      <c r="H161" s="2" t="n"/>
      <c r="I161" s="2" t="n"/>
    </row>
    <row r="162" ht="14.25" customHeight="1" s="46">
      <c r="A162" s="2" t="n"/>
      <c r="B162" s="2" t="n"/>
      <c r="C162" s="2" t="n"/>
      <c r="D162" s="2" t="n"/>
      <c r="E162" s="2" t="n"/>
      <c r="F162" s="2" t="n"/>
      <c r="G162" s="2" t="n"/>
      <c r="H162" s="2" t="n"/>
      <c r="I162" s="2" t="n"/>
    </row>
    <row r="163" ht="14.25" customHeight="1" s="46">
      <c r="A163" s="2" t="n"/>
      <c r="B163" s="2" t="n"/>
      <c r="C163" s="2" t="n"/>
      <c r="D163" s="2" t="n"/>
      <c r="E163" s="2" t="n"/>
      <c r="F163" s="2" t="n"/>
      <c r="G163" s="2" t="n"/>
      <c r="H163" s="2" t="n"/>
      <c r="I163" s="2" t="n"/>
    </row>
    <row r="164" ht="14.25" customHeight="1" s="46">
      <c r="A164" s="2" t="n"/>
      <c r="B164" s="2" t="n"/>
      <c r="C164" s="2" t="n"/>
      <c r="D164" s="2" t="n"/>
      <c r="E164" s="2" t="n"/>
      <c r="F164" s="2" t="n"/>
      <c r="G164" s="2" t="n"/>
      <c r="H164" s="2" t="n"/>
      <c r="I164" s="2" t="n"/>
    </row>
    <row r="165" ht="14.25" customHeight="1" s="46">
      <c r="A165" s="2" t="n"/>
      <c r="B165" s="2" t="n"/>
      <c r="C165" s="2" t="n"/>
      <c r="D165" s="2" t="n"/>
      <c r="E165" s="2" t="n"/>
      <c r="F165" s="2" t="n"/>
      <c r="G165" s="2" t="n"/>
      <c r="H165" s="2" t="n"/>
      <c r="I165" s="2" t="n"/>
    </row>
    <row r="166" ht="14.25" customHeight="1" s="46">
      <c r="A166" s="2" t="n"/>
      <c r="B166" s="2" t="n"/>
      <c r="C166" s="2" t="n"/>
      <c r="D166" s="2" t="n"/>
      <c r="E166" s="2" t="n"/>
      <c r="F166" s="2" t="n"/>
      <c r="G166" s="2" t="n"/>
      <c r="H166" s="2" t="n"/>
      <c r="I166" s="2" t="n"/>
    </row>
    <row r="167" ht="14.25" customHeight="1" s="46">
      <c r="A167" s="2" t="n"/>
      <c r="B167" s="2" t="n"/>
      <c r="C167" s="2" t="n"/>
      <c r="D167" s="2" t="n"/>
      <c r="E167" s="2" t="n"/>
      <c r="F167" s="2" t="n"/>
      <c r="G167" s="2" t="n"/>
      <c r="H167" s="2" t="n"/>
      <c r="I167" s="2" t="n"/>
    </row>
    <row r="168" ht="14.25" customHeight="1" s="46">
      <c r="A168" s="2" t="n"/>
      <c r="B168" s="2" t="n"/>
      <c r="C168" s="2" t="n"/>
      <c r="D168" s="2" t="n"/>
      <c r="E168" s="2" t="n"/>
      <c r="F168" s="2" t="n"/>
      <c r="G168" s="2" t="n"/>
      <c r="H168" s="2" t="n"/>
      <c r="I168" s="2" t="n"/>
    </row>
    <row r="169" ht="14.25" customHeight="1" s="46">
      <c r="A169" s="2" t="n"/>
      <c r="B169" s="2" t="n"/>
      <c r="C169" s="2" t="n"/>
      <c r="D169" s="2" t="n"/>
      <c r="E169" s="2" t="n"/>
      <c r="F169" s="2" t="n"/>
      <c r="G169" s="2" t="n"/>
      <c r="H169" s="2" t="n"/>
      <c r="I169" s="2" t="n"/>
    </row>
    <row r="170" ht="14.25" customHeight="1" s="46">
      <c r="A170" s="2" t="n"/>
      <c r="B170" s="2" t="n"/>
      <c r="C170" s="2" t="n"/>
      <c r="D170" s="2" t="n"/>
      <c r="E170" s="2" t="n"/>
      <c r="F170" s="2" t="n"/>
      <c r="G170" s="2" t="n"/>
      <c r="H170" s="2" t="n"/>
      <c r="I170" s="2" t="n"/>
    </row>
    <row r="171" ht="14.25" customHeight="1" s="46">
      <c r="A171" s="2" t="n"/>
      <c r="B171" s="2" t="n"/>
      <c r="C171" s="2" t="n"/>
      <c r="D171" s="2" t="n"/>
      <c r="E171" s="2" t="n"/>
      <c r="F171" s="2" t="n"/>
      <c r="G171" s="2" t="n"/>
      <c r="H171" s="2" t="n"/>
      <c r="I171" s="2" t="n"/>
    </row>
    <row r="172" ht="14.25" customHeight="1" s="46">
      <c r="A172" s="2" t="n"/>
      <c r="B172" s="2" t="n"/>
      <c r="C172" s="2" t="n"/>
      <c r="D172" s="2" t="n"/>
      <c r="E172" s="2" t="n"/>
      <c r="F172" s="2" t="n"/>
      <c r="G172" s="2" t="n"/>
      <c r="H172" s="2" t="n"/>
      <c r="I172" s="2" t="n"/>
    </row>
    <row r="173" ht="14.25" customHeight="1" s="46">
      <c r="A173" s="2" t="n"/>
      <c r="B173" s="2" t="n"/>
      <c r="C173" s="2" t="n"/>
      <c r="D173" s="2" t="n"/>
      <c r="E173" s="2" t="n"/>
      <c r="F173" s="2" t="n"/>
      <c r="G173" s="2" t="n"/>
      <c r="H173" s="2" t="n"/>
      <c r="I173" s="2" t="n"/>
    </row>
    <row r="174" ht="14.25" customHeight="1" s="46">
      <c r="A174" s="2" t="n"/>
      <c r="B174" s="2" t="n"/>
      <c r="C174" s="2" t="n"/>
      <c r="D174" s="2" t="n"/>
      <c r="E174" s="2" t="n"/>
      <c r="F174" s="2" t="n"/>
      <c r="G174" s="2" t="n"/>
      <c r="H174" s="2" t="n"/>
      <c r="I174" s="2" t="n"/>
    </row>
    <row r="175" ht="14.25" customHeight="1" s="46">
      <c r="A175" s="2" t="n"/>
      <c r="B175" s="2" t="n"/>
      <c r="C175" s="2" t="n"/>
      <c r="D175" s="2" t="n"/>
      <c r="E175" s="2" t="n"/>
      <c r="F175" s="2" t="n"/>
      <c r="G175" s="2" t="n"/>
      <c r="H175" s="2" t="n"/>
      <c r="I175" s="2" t="n"/>
    </row>
    <row r="176" ht="14.25" customHeight="1" s="46">
      <c r="A176" s="2" t="n"/>
      <c r="B176" s="2" t="n"/>
      <c r="C176" s="2" t="n"/>
      <c r="D176" s="2" t="n"/>
      <c r="E176" s="2" t="n"/>
      <c r="F176" s="2" t="n"/>
      <c r="G176" s="2" t="n"/>
      <c r="H176" s="2" t="n"/>
      <c r="I176" s="2" t="n"/>
    </row>
    <row r="177" ht="14.25" customHeight="1" s="46">
      <c r="A177" s="2" t="n"/>
      <c r="B177" s="2" t="n"/>
      <c r="C177" s="2" t="n"/>
      <c r="D177" s="2" t="n"/>
      <c r="E177" s="2" t="n"/>
      <c r="F177" s="2" t="n"/>
      <c r="G177" s="2" t="n"/>
      <c r="H177" s="2" t="n"/>
      <c r="I177" s="2" t="n"/>
    </row>
    <row r="178" ht="14.25" customHeight="1" s="46">
      <c r="A178" s="2" t="n"/>
      <c r="B178" s="2" t="n"/>
      <c r="C178" s="2" t="n"/>
      <c r="D178" s="2" t="n"/>
      <c r="E178" s="2" t="n"/>
      <c r="F178" s="2" t="n"/>
      <c r="G178" s="2" t="n"/>
      <c r="H178" s="2" t="n"/>
      <c r="I178" s="2" t="n"/>
    </row>
    <row r="179" ht="14.25" customHeight="1" s="46">
      <c r="A179" s="2" t="n"/>
      <c r="B179" s="2" t="n"/>
      <c r="C179" s="2" t="n"/>
      <c r="D179" s="2" t="n"/>
      <c r="E179" s="2" t="n"/>
      <c r="F179" s="2" t="n"/>
      <c r="G179" s="2" t="n"/>
      <c r="H179" s="2" t="n"/>
      <c r="I179" s="2" t="n"/>
    </row>
    <row r="180" ht="14.25" customHeight="1" s="46">
      <c r="A180" s="2" t="n"/>
      <c r="B180" s="2" t="n"/>
      <c r="C180" s="2" t="n"/>
      <c r="D180" s="2" t="n"/>
      <c r="E180" s="2" t="n"/>
      <c r="F180" s="2" t="n"/>
      <c r="G180" s="2" t="n"/>
      <c r="H180" s="2" t="n"/>
      <c r="I180" s="2" t="n"/>
    </row>
    <row r="181" ht="14.25" customHeight="1" s="46">
      <c r="A181" s="2" t="n"/>
      <c r="B181" s="2" t="n"/>
      <c r="C181" s="2" t="n"/>
      <c r="D181" s="2" t="n"/>
      <c r="E181" s="2" t="n"/>
      <c r="F181" s="2" t="n"/>
      <c r="G181" s="2" t="n"/>
      <c r="H181" s="2" t="n"/>
      <c r="I181" s="2" t="n"/>
    </row>
    <row r="182" ht="14.25" customHeight="1" s="46">
      <c r="A182" s="2" t="n"/>
      <c r="B182" s="2" t="n"/>
      <c r="C182" s="2" t="n"/>
      <c r="D182" s="2" t="n"/>
      <c r="E182" s="2" t="n"/>
      <c r="F182" s="2" t="n"/>
      <c r="G182" s="2" t="n"/>
      <c r="H182" s="2" t="n"/>
      <c r="I182" s="2" t="n"/>
    </row>
    <row r="183" ht="14.25" customHeight="1" s="46">
      <c r="A183" s="2" t="n"/>
      <c r="B183" s="2" t="n"/>
      <c r="C183" s="2" t="n"/>
      <c r="D183" s="2" t="n"/>
      <c r="E183" s="2" t="n"/>
      <c r="F183" s="2" t="n"/>
      <c r="G183" s="2" t="n"/>
      <c r="H183" s="2" t="n"/>
      <c r="I183" s="2" t="n"/>
    </row>
    <row r="184" ht="14.25" customHeight="1" s="46">
      <c r="A184" s="2" t="n"/>
      <c r="B184" s="2" t="n"/>
      <c r="C184" s="2" t="n"/>
      <c r="D184" s="2" t="n"/>
      <c r="E184" s="2" t="n"/>
      <c r="F184" s="2" t="n"/>
      <c r="G184" s="2" t="n"/>
      <c r="H184" s="2" t="n"/>
      <c r="I184" s="2" t="n"/>
    </row>
    <row r="185" ht="14.25" customHeight="1" s="46">
      <c r="A185" s="2" t="n"/>
      <c r="B185" s="2" t="n"/>
      <c r="C185" s="2" t="n"/>
      <c r="D185" s="2" t="n"/>
      <c r="E185" s="2" t="n"/>
      <c r="F185" s="2" t="n"/>
      <c r="G185" s="2" t="n"/>
      <c r="H185" s="2" t="n"/>
      <c r="I185" s="2" t="n"/>
    </row>
    <row r="186" ht="14.25" customHeight="1" s="46">
      <c r="A186" s="2" t="n"/>
      <c r="B186" s="2" t="n"/>
      <c r="C186" s="2" t="n"/>
      <c r="D186" s="2" t="n"/>
      <c r="E186" s="2" t="n"/>
      <c r="F186" s="2" t="n"/>
      <c r="G186" s="2" t="n"/>
      <c r="H186" s="2" t="n"/>
      <c r="I186" s="2" t="n"/>
    </row>
    <row r="187" ht="14.25" customHeight="1" s="46">
      <c r="A187" s="2" t="n"/>
      <c r="B187" s="2" t="n"/>
      <c r="C187" s="2" t="n"/>
      <c r="D187" s="2" t="n"/>
      <c r="E187" s="2" t="n"/>
      <c r="F187" s="2" t="n"/>
      <c r="G187" s="2" t="n"/>
      <c r="H187" s="2" t="n"/>
      <c r="I187" s="2" t="n"/>
    </row>
    <row r="188" ht="14.25" customHeight="1" s="46">
      <c r="A188" s="2" t="n"/>
      <c r="B188" s="2" t="n"/>
      <c r="C188" s="2" t="n"/>
      <c r="D188" s="2" t="n"/>
      <c r="E188" s="2" t="n"/>
      <c r="F188" s="2" t="n"/>
      <c r="G188" s="2" t="n"/>
      <c r="H188" s="2" t="n"/>
      <c r="I188" s="2" t="n"/>
    </row>
    <row r="189" ht="14.25" customHeight="1" s="46">
      <c r="A189" s="2" t="n"/>
      <c r="B189" s="2" t="n"/>
      <c r="C189" s="2" t="n"/>
      <c r="D189" s="2" t="n"/>
      <c r="E189" s="2" t="n"/>
      <c r="F189" s="2" t="n"/>
      <c r="G189" s="2" t="n"/>
      <c r="H189" s="2" t="n"/>
      <c r="I189" s="2" t="n"/>
    </row>
    <row r="190" ht="14.25" customHeight="1" s="46">
      <c r="A190" s="2" t="n"/>
      <c r="B190" s="2" t="n"/>
      <c r="C190" s="2" t="n"/>
      <c r="D190" s="2" t="n"/>
      <c r="E190" s="2" t="n"/>
      <c r="F190" s="2" t="n"/>
      <c r="G190" s="2" t="n"/>
      <c r="H190" s="2" t="n"/>
      <c r="I190" s="2" t="n"/>
    </row>
    <row r="191" ht="14.25" customHeight="1" s="46">
      <c r="A191" s="2" t="n"/>
      <c r="B191" s="2" t="n"/>
      <c r="C191" s="2" t="n"/>
      <c r="D191" s="2" t="n"/>
      <c r="E191" s="2" t="n"/>
      <c r="F191" s="2" t="n"/>
      <c r="G191" s="2" t="n"/>
      <c r="H191" s="2" t="n"/>
      <c r="I191" s="2" t="n"/>
    </row>
    <row r="192" ht="14.25" customHeight="1" s="46">
      <c r="A192" s="2" t="n"/>
      <c r="B192" s="2" t="n"/>
      <c r="C192" s="2" t="n"/>
      <c r="D192" s="2" t="n"/>
      <c r="E192" s="2" t="n"/>
      <c r="F192" s="2" t="n"/>
      <c r="G192" s="2" t="n"/>
      <c r="H192" s="2" t="n"/>
      <c r="I192" s="2" t="n"/>
    </row>
    <row r="193" ht="14.25" customHeight="1" s="46">
      <c r="A193" s="2" t="n"/>
      <c r="B193" s="2" t="n"/>
      <c r="C193" s="2" t="n"/>
      <c r="D193" s="2" t="n"/>
      <c r="E193" s="2" t="n"/>
      <c r="F193" s="2" t="n"/>
      <c r="G193" s="2" t="n"/>
      <c r="H193" s="2" t="n"/>
      <c r="I193" s="2" t="n"/>
    </row>
    <row r="194" ht="14.25" customHeight="1" s="46">
      <c r="A194" s="2" t="n"/>
      <c r="B194" s="2" t="n"/>
      <c r="C194" s="2" t="n"/>
      <c r="D194" s="2" t="n"/>
      <c r="E194" s="2" t="n"/>
      <c r="F194" s="2" t="n"/>
      <c r="G194" s="2" t="n"/>
      <c r="H194" s="2" t="n"/>
      <c r="I194" s="2" t="n"/>
    </row>
    <row r="195" ht="14.25" customHeight="1" s="46">
      <c r="A195" s="2" t="n"/>
      <c r="B195" s="2" t="n"/>
      <c r="C195" s="2" t="n"/>
      <c r="D195" s="2" t="n"/>
      <c r="E195" s="2" t="n"/>
      <c r="F195" s="2" t="n"/>
      <c r="G195" s="2" t="n"/>
      <c r="H195" s="2" t="n"/>
      <c r="I195" s="2" t="n"/>
    </row>
    <row r="196" ht="14.25" customHeight="1" s="46">
      <c r="A196" s="2" t="n"/>
      <c r="B196" s="2" t="n"/>
      <c r="C196" s="2" t="n"/>
      <c r="D196" s="2" t="n"/>
      <c r="E196" s="2" t="n"/>
      <c r="F196" s="2" t="n"/>
      <c r="G196" s="2" t="n"/>
      <c r="H196" s="2" t="n"/>
      <c r="I196" s="2" t="n"/>
    </row>
    <row r="197" ht="14.25" customHeight="1" s="46">
      <c r="A197" s="2" t="n"/>
      <c r="B197" s="2" t="n"/>
      <c r="C197" s="2" t="n"/>
      <c r="D197" s="2" t="n"/>
      <c r="E197" s="2" t="n"/>
      <c r="F197" s="2" t="n"/>
      <c r="G197" s="2" t="n"/>
      <c r="H197" s="2" t="n"/>
      <c r="I197" s="2" t="n"/>
    </row>
    <row r="198" ht="14.25" customHeight="1" s="46">
      <c r="A198" s="2" t="n"/>
      <c r="B198" s="2" t="n"/>
      <c r="C198" s="2" t="n"/>
      <c r="D198" s="2" t="n"/>
      <c r="E198" s="2" t="n"/>
      <c r="F198" s="2" t="n"/>
      <c r="G198" s="2" t="n"/>
      <c r="H198" s="2" t="n"/>
      <c r="I198" s="2" t="n"/>
    </row>
    <row r="199" ht="14.25" customHeight="1" s="46">
      <c r="A199" s="2" t="n"/>
      <c r="B199" s="2" t="n"/>
      <c r="C199" s="2" t="n"/>
      <c r="D199" s="2" t="n"/>
      <c r="E199" s="2" t="n"/>
      <c r="F199" s="2" t="n"/>
      <c r="G199" s="2" t="n"/>
      <c r="H199" s="2" t="n"/>
      <c r="I199" s="2" t="n"/>
    </row>
    <row r="200" ht="14.25" customHeight="1" s="46">
      <c r="A200" s="2" t="n"/>
      <c r="B200" s="2" t="n"/>
      <c r="C200" s="2" t="n"/>
      <c r="D200" s="2" t="n"/>
      <c r="E200" s="2" t="n"/>
      <c r="F200" s="2" t="n"/>
      <c r="G200" s="2" t="n"/>
      <c r="H200" s="2" t="n"/>
      <c r="I200" s="2" t="n"/>
    </row>
    <row r="201" ht="14.25" customHeight="1" s="46">
      <c r="A201" s="2" t="n"/>
      <c r="B201" s="2" t="n"/>
      <c r="C201" s="2" t="n"/>
      <c r="D201" s="2" t="n"/>
      <c r="E201" s="2" t="n"/>
      <c r="F201" s="2" t="n"/>
      <c r="G201" s="2" t="n"/>
      <c r="H201" s="2" t="n"/>
      <c r="I201" s="2" t="n"/>
    </row>
    <row r="202" ht="14.25" customHeight="1" s="46">
      <c r="A202" s="2" t="n"/>
      <c r="B202" s="2" t="n"/>
      <c r="C202" s="2" t="n"/>
      <c r="D202" s="2" t="n"/>
      <c r="E202" s="2" t="n"/>
      <c r="F202" s="2" t="n"/>
      <c r="G202" s="2" t="n"/>
      <c r="H202" s="2" t="n"/>
      <c r="I202" s="2" t="n"/>
    </row>
    <row r="203" ht="14.25" customHeight="1" s="46">
      <c r="A203" s="2" t="n"/>
      <c r="B203" s="2" t="n"/>
      <c r="C203" s="2" t="n"/>
      <c r="D203" s="2" t="n"/>
      <c r="E203" s="2" t="n"/>
      <c r="F203" s="2" t="n"/>
      <c r="G203" s="2" t="n"/>
      <c r="H203" s="2" t="n"/>
      <c r="I203" s="2" t="n"/>
    </row>
    <row r="204" ht="14.25" customHeight="1" s="46">
      <c r="A204" s="2" t="n"/>
      <c r="B204" s="2" t="n"/>
      <c r="C204" s="2" t="n"/>
      <c r="D204" s="2" t="n"/>
      <c r="E204" s="2" t="n"/>
      <c r="F204" s="2" t="n"/>
      <c r="G204" s="2" t="n"/>
      <c r="H204" s="2" t="n"/>
      <c r="I204" s="2" t="n"/>
    </row>
    <row r="205" ht="14.25" customHeight="1" s="46">
      <c r="A205" s="2" t="n"/>
      <c r="B205" s="2" t="n"/>
      <c r="C205" s="2" t="n"/>
      <c r="D205" s="2" t="n"/>
      <c r="E205" s="2" t="n"/>
      <c r="F205" s="2" t="n"/>
      <c r="G205" s="2" t="n"/>
      <c r="H205" s="2" t="n"/>
      <c r="I205" s="2" t="n"/>
    </row>
    <row r="206" ht="14.25" customHeight="1" s="46">
      <c r="A206" s="2" t="n"/>
      <c r="B206" s="2" t="n"/>
      <c r="C206" s="2" t="n"/>
      <c r="D206" s="2" t="n"/>
      <c r="E206" s="2" t="n"/>
      <c r="F206" s="2" t="n"/>
      <c r="G206" s="2" t="n"/>
      <c r="H206" s="2" t="n"/>
      <c r="I206" s="2" t="n"/>
    </row>
    <row r="207" ht="14.25" customHeight="1" s="46">
      <c r="A207" s="2" t="n"/>
      <c r="B207" s="2" t="n"/>
      <c r="C207" s="2" t="n"/>
      <c r="D207" s="2" t="n"/>
      <c r="E207" s="2" t="n"/>
      <c r="F207" s="2" t="n"/>
      <c r="G207" s="2" t="n"/>
      <c r="H207" s="2" t="n"/>
      <c r="I207" s="2" t="n"/>
    </row>
    <row r="208" ht="14.25" customHeight="1" s="46">
      <c r="A208" s="2" t="n"/>
      <c r="B208" s="2" t="n"/>
      <c r="C208" s="2" t="n"/>
      <c r="D208" s="2" t="n"/>
      <c r="E208" s="2" t="n"/>
      <c r="F208" s="2" t="n"/>
      <c r="G208" s="2" t="n"/>
      <c r="H208" s="2" t="n"/>
      <c r="I208" s="2" t="n"/>
    </row>
    <row r="209" ht="14.25" customHeight="1" s="46">
      <c r="A209" s="2" t="n"/>
      <c r="B209" s="2" t="n"/>
      <c r="C209" s="2" t="n"/>
      <c r="D209" s="2" t="n"/>
      <c r="E209" s="2" t="n"/>
      <c r="F209" s="2" t="n"/>
      <c r="G209" s="2" t="n"/>
      <c r="H209" s="2" t="n"/>
      <c r="I209" s="2" t="n"/>
    </row>
    <row r="210" ht="14.25" customHeight="1" s="46">
      <c r="A210" s="2" t="n"/>
      <c r="B210" s="2" t="n"/>
      <c r="C210" s="2" t="n"/>
      <c r="D210" s="2" t="n"/>
      <c r="E210" s="2" t="n"/>
      <c r="F210" s="2" t="n"/>
      <c r="G210" s="2" t="n"/>
      <c r="H210" s="2" t="n"/>
      <c r="I210" s="2" t="n"/>
    </row>
    <row r="211" ht="14.25" customHeight="1" s="46">
      <c r="A211" s="2" t="n"/>
      <c r="B211" s="2" t="n"/>
      <c r="C211" s="2" t="n"/>
      <c r="D211" s="2" t="n"/>
      <c r="E211" s="2" t="n"/>
      <c r="F211" s="2" t="n"/>
      <c r="G211" s="2" t="n"/>
      <c r="H211" s="2" t="n"/>
      <c r="I211" s="2" t="n"/>
    </row>
    <row r="212" ht="14.25" customHeight="1" s="46">
      <c r="A212" s="2" t="n"/>
      <c r="B212" s="2" t="n"/>
      <c r="C212" s="2" t="n"/>
      <c r="D212" s="2" t="n"/>
      <c r="E212" s="2" t="n"/>
      <c r="F212" s="2" t="n"/>
      <c r="G212" s="2" t="n"/>
      <c r="H212" s="2" t="n"/>
      <c r="I212" s="2" t="n"/>
    </row>
    <row r="213" ht="14.25" customHeight="1" s="46">
      <c r="A213" s="2" t="n"/>
      <c r="B213" s="2" t="n"/>
      <c r="C213" s="2" t="n"/>
      <c r="D213" s="2" t="n"/>
      <c r="E213" s="2" t="n"/>
      <c r="F213" s="2" t="n"/>
      <c r="G213" s="2" t="n"/>
      <c r="H213" s="2" t="n"/>
      <c r="I213" s="2" t="n"/>
    </row>
    <row r="214" ht="14.25" customHeight="1" s="46">
      <c r="A214" s="2" t="n"/>
      <c r="B214" s="2" t="n"/>
      <c r="C214" s="2" t="n"/>
      <c r="D214" s="2" t="n"/>
      <c r="E214" s="2" t="n"/>
      <c r="F214" s="2" t="n"/>
      <c r="G214" s="2" t="n"/>
      <c r="H214" s="2" t="n"/>
      <c r="I214" s="2" t="n"/>
    </row>
    <row r="215" ht="14.25" customHeight="1" s="46">
      <c r="A215" s="2" t="n"/>
      <c r="B215" s="2" t="n"/>
      <c r="C215" s="2" t="n"/>
      <c r="D215" s="2" t="n"/>
      <c r="E215" s="2" t="n"/>
      <c r="F215" s="2" t="n"/>
      <c r="G215" s="2" t="n"/>
      <c r="H215" s="2" t="n"/>
      <c r="I215" s="2" t="n"/>
    </row>
    <row r="216" ht="14.25" customHeight="1" s="46">
      <c r="A216" s="2" t="n"/>
      <c r="B216" s="2" t="n"/>
      <c r="C216" s="2" t="n"/>
      <c r="D216" s="2" t="n"/>
      <c r="E216" s="2" t="n"/>
      <c r="F216" s="2" t="n"/>
      <c r="G216" s="2" t="n"/>
      <c r="H216" s="2" t="n"/>
      <c r="I216" s="2" t="n"/>
    </row>
    <row r="217" ht="14.25" customHeight="1" s="46">
      <c r="A217" s="2" t="n"/>
      <c r="B217" s="2" t="n"/>
      <c r="C217" s="2" t="n"/>
      <c r="D217" s="2" t="n"/>
      <c r="E217" s="2" t="n"/>
      <c r="F217" s="2" t="n"/>
      <c r="G217" s="2" t="n"/>
      <c r="H217" s="2" t="n"/>
      <c r="I217" s="2" t="n"/>
    </row>
    <row r="218" ht="14.25" customHeight="1" s="46">
      <c r="A218" s="2" t="n"/>
      <c r="B218" s="2" t="n"/>
      <c r="C218" s="2" t="n"/>
      <c r="D218" s="2" t="n"/>
      <c r="E218" s="2" t="n"/>
      <c r="F218" s="2" t="n"/>
      <c r="G218" s="2" t="n"/>
      <c r="H218" s="2" t="n"/>
      <c r="I218" s="2" t="n"/>
    </row>
    <row r="219" ht="14.25" customHeight="1" s="46">
      <c r="A219" s="2" t="n"/>
      <c r="B219" s="2" t="n"/>
      <c r="C219" s="2" t="n"/>
      <c r="D219" s="2" t="n"/>
      <c r="E219" s="2" t="n"/>
      <c r="F219" s="2" t="n"/>
      <c r="G219" s="2" t="n"/>
      <c r="H219" s="2" t="n"/>
      <c r="I219" s="2" t="n"/>
    </row>
    <row r="220" ht="14.25" customHeight="1" s="46">
      <c r="A220" s="2" t="n"/>
      <c r="B220" s="2" t="n"/>
      <c r="C220" s="2" t="n"/>
      <c r="D220" s="2" t="n"/>
      <c r="E220" s="2" t="n"/>
      <c r="F220" s="2" t="n"/>
      <c r="G220" s="2" t="n"/>
      <c r="H220" s="2" t="n"/>
      <c r="I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J22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46" min="1" max="1"/>
    <col width="11" customWidth="1" style="46" min="2" max="2"/>
    <col width="10" customWidth="1" style="46" min="3" max="3"/>
    <col width="46" customWidth="1" style="46" min="4" max="4"/>
    <col width="16" customWidth="1" style="46" min="5" max="5"/>
    <col width="40" customWidth="1" style="46" min="6" max="6"/>
    <col width="11" customWidth="1" style="46" min="7" max="8"/>
    <col width="9" customWidth="1" style="46" min="9" max="9"/>
    <col width="10" customWidth="1" style="46" min="10" max="10"/>
  </cols>
  <sheetData>
    <row r="1" ht="6.75" customHeight="1" s="46">
      <c r="A1" s="1" t="inlineStr">
        <is>
          <t>Step 0: the stages of a game</t>
        </is>
      </c>
      <c r="B1" s="2" t="n"/>
      <c r="C1" s="2" t="n"/>
      <c r="D1" s="2" t="n"/>
      <c r="E1" s="2" t="n"/>
      <c r="F1" s="2" t="n"/>
      <c r="G1" s="2" t="n"/>
      <c r="H1" s="2" t="n"/>
      <c r="I1" s="2" t="n"/>
      <c r="J1" s="2" t="n"/>
    </row>
    <row r="2" ht="14.25" customHeight="1" s="46">
      <c r="A2" s="3" t="inlineStr">
        <is>
          <t>Months in stage and basic share are levers (blue). One month = 10 days.</t>
        </is>
      </c>
      <c r="B2" s="2" t="n"/>
      <c r="C2" s="2" t="n"/>
      <c r="D2" s="2" t="n"/>
      <c r="E2" s="2" t="n"/>
      <c r="F2" s="2" t="n"/>
      <c r="G2" s="2" t="n"/>
      <c r="H2" s="2" t="n"/>
      <c r="I2" s="2" t="n"/>
      <c r="J2" s="2" t="n"/>
    </row>
    <row r="3" ht="14.25" customHeight="1" s="46">
      <c r="A3" s="2" t="n"/>
      <c r="B3" s="2" t="n"/>
      <c r="C3" s="2" t="n"/>
      <c r="D3" s="2" t="n"/>
      <c r="E3" s="2" t="n"/>
      <c r="F3" s="2" t="n"/>
      <c r="G3" s="2" t="n"/>
      <c r="H3" s="2" t="n"/>
      <c r="I3" s="2" t="n"/>
      <c r="J3" s="2" t="n"/>
    </row>
    <row r="4" ht="25.5" customHeight="1" s="46">
      <c r="A4" s="9" t="inlineStr">
        <is>
          <t>Rank</t>
        </is>
      </c>
      <c r="B4" s="9" t="inlineStr">
        <is>
          <t>Population from</t>
        </is>
      </c>
      <c r="C4" s="9" t="inlineStr">
        <is>
          <t>Months in stage</t>
        </is>
      </c>
      <c r="D4" s="9" t="inlineStr">
        <is>
          <t>Player focus</t>
        </is>
      </c>
      <c r="E4" s="9" t="inlineStr">
        <is>
          <t>Home level reached</t>
        </is>
      </c>
      <c r="F4" s="9" t="inlineStr">
        <is>
          <t>New lines (step 1)</t>
        </is>
      </c>
      <c r="G4" s="9" t="inlineStr">
        <is>
          <t>Knowledge a month</t>
        </is>
      </c>
      <c r="H4" s="9" t="inlineStr">
        <is>
          <t>Knowledge in stage</t>
        </is>
      </c>
      <c r="I4" s="9" t="inlineStr">
        <is>
          <t>Basic share</t>
        </is>
      </c>
      <c r="J4" s="9" t="inlineStr">
        <is>
          <t>Basic budget</t>
        </is>
      </c>
    </row>
    <row r="5" ht="39" customHeight="1" s="46">
      <c r="A5" s="7" t="inlineStr">
        <is>
          <t>Hamlet</t>
        </is>
      </c>
      <c r="B5" s="7" t="n">
        <v>0</v>
      </c>
      <c r="C5" s="11" t="n">
        <v>12</v>
      </c>
      <c r="D5" s="7" t="inlineStr">
        <is>
          <t>Survive the first winter: food, firewood, shelter, somewhere to store it. Fell, quarry, gather, hunt, fish; the first fields. Trade possible.</t>
        </is>
      </c>
      <c r="E5" s="7" t="inlineStr">
        <is>
          <t>Cottage</t>
        </is>
      </c>
      <c r="F5" s="7" t="inlineStr">
        <is>
          <t>Timber (planks), first fields</t>
        </is>
      </c>
      <c r="G5" s="15">
        <f>'0 Knowledge'!D16</f>
        <v/>
      </c>
      <c r="H5" s="16">
        <f>C5*G5</f>
        <v/>
      </c>
      <c r="I5" s="17" t="n">
        <v>1</v>
      </c>
      <c r="J5" s="16">
        <f>H5*I5</f>
        <v/>
      </c>
    </row>
    <row r="6" ht="25.5" customHeight="1" s="46">
      <c r="A6" s="7" t="inlineStr">
        <is>
          <t>Village</t>
        </is>
      </c>
      <c r="B6" s="7" t="n">
        <v>20</v>
      </c>
      <c r="C6" s="11" t="n">
        <v>24</v>
      </c>
      <c r="D6" s="7" t="inlineStr">
        <is>
          <t>The first processing chains: bread, ale, cloth and clothes, tiles, animals, orchards. First trade. The church. Some second-tier chains</t>
        </is>
      </c>
      <c r="E6" s="7" t="inlineStr">
        <is>
          <t>Timber House</t>
        </is>
      </c>
      <c r="F6" s="7" t="inlineStr">
        <is>
          <t>Bread, ale and cider, cloth and leather, clay and tiles, herds, orchards</t>
        </is>
      </c>
      <c r="G6" s="15">
        <f>'0 Knowledge'!E16</f>
        <v/>
      </c>
      <c r="H6" s="16">
        <f>C6*G6</f>
        <v/>
      </c>
      <c r="I6" s="17" t="n">
        <v>0.7</v>
      </c>
      <c r="J6" s="16">
        <f>H6*I6</f>
        <v/>
      </c>
    </row>
    <row r="7" ht="39" customHeight="1" s="46">
      <c r="A7" s="7" t="inlineStr">
        <is>
          <t>Town</t>
        </is>
      </c>
      <c r="B7" s="7" t="n">
        <v>45</v>
      </c>
      <c r="C7" s="11" t="n">
        <v>36</v>
      </c>
      <c r="D7" s="7" t="inlineStr">
        <is>
          <t>First luxury, finish essential second-tier, begin specialization. The first charter.</t>
        </is>
      </c>
      <c r="E7" s="7" t="inlineStr">
        <is>
          <t>Townhouse</t>
        </is>
      </c>
      <c r="F7" s="7" t="inlineStr">
        <is>
          <t>Iron and tools, dressed stone and mortar, dyes, medicine, pottery</t>
        </is>
      </c>
      <c r="G7" s="15">
        <f>'0 Knowledge'!F16</f>
        <v/>
      </c>
      <c r="H7" s="16">
        <f>C7*G7</f>
        <v/>
      </c>
      <c r="I7" s="17" t="n">
        <v>0.5</v>
      </c>
      <c r="J7" s="16">
        <f>H7*I7</f>
        <v/>
      </c>
    </row>
    <row r="8" ht="25.5" customHeight="1" s="46">
      <c r="A8" s="7" t="inlineStr">
        <is>
          <t>Borough</t>
        </is>
      </c>
      <c r="B8" s="7" t="n">
        <v>90</v>
      </c>
      <c r="C8" s="11" t="n">
        <v>48</v>
      </c>
      <c r="D8" s="7" t="inlineStr">
        <is>
          <t>Luxuries and mixed goods: glass, fine clothes, books, arms. Great works begin.</t>
        </is>
      </c>
      <c r="E8" s="7" t="inlineStr">
        <is>
          <t>Merchant's House</t>
        </is>
      </c>
      <c r="F8" s="7" t="inlineStr">
        <is>
          <t>Glass</t>
        </is>
      </c>
      <c r="G8" s="15">
        <f>'0 Knowledge'!G16</f>
        <v/>
      </c>
      <c r="H8" s="16">
        <f>C8*G8</f>
        <v/>
      </c>
      <c r="I8" s="17" t="n">
        <v>0.15</v>
      </c>
      <c r="J8" s="16">
        <f>H8*I8</f>
        <v/>
      </c>
    </row>
    <row r="9" ht="25.5" customHeight="1" s="46">
      <c r="A9" s="7" t="inlineStr">
        <is>
          <t>City</t>
        </is>
      </c>
      <c r="B9" s="7" t="n">
        <v>150</v>
      </c>
      <c r="C9" s="11" t="n">
        <v>60</v>
      </c>
      <c r="D9" s="7" t="inlineStr">
        <is>
          <t>Great works, renown, refining the town: extensions, upgrades, choices.</t>
        </is>
      </c>
      <c r="E9" s="7" t="inlineStr">
        <is>
          <t>Merchant's House</t>
        </is>
      </c>
      <c r="F9" s="7" t="inlineStr">
        <is>
          <t>(extensions and choices, step 4)</t>
        </is>
      </c>
      <c r="G9" s="15">
        <f>'0 Knowledge'!H16</f>
        <v/>
      </c>
      <c r="H9" s="16">
        <f>C9*G9</f>
        <v/>
      </c>
      <c r="I9" s="17" t="n">
        <v>0</v>
      </c>
      <c r="J9" s="16">
        <f>H9*I9</f>
        <v/>
      </c>
    </row>
    <row r="10" ht="14.25" customHeight="1" s="46">
      <c r="A10" s="2" t="n"/>
      <c r="B10" s="2" t="n"/>
      <c r="C10" s="2" t="n"/>
      <c r="D10" s="2" t="n"/>
      <c r="E10" s="2" t="n"/>
      <c r="F10" s="2" t="n"/>
      <c r="G10" s="2" t="n"/>
      <c r="H10" s="2" t="n"/>
      <c r="I10" s="2" t="n"/>
      <c r="J10" s="2" t="n"/>
    </row>
    <row r="11" ht="51.75" customHeight="1" s="46">
      <c r="A11" s="3" t="inlineStr">
        <is>
          <t>Basic share: how much of a stage's knowledge the basic lines may take; the rest is for mixed goods, extensions and choices (steps 3 and 4). Early stages are almost all basic industry.</t>
        </is>
      </c>
      <c r="B11" s="2" t="n"/>
      <c r="C11" s="2" t="n"/>
      <c r="D11" s="2" t="n"/>
      <c r="E11" s="2" t="n"/>
      <c r="F11" s="2" t="n"/>
      <c r="G11" s="2" t="n"/>
      <c r="H11" s="2" t="n"/>
      <c r="I11" s="2" t="n"/>
      <c r="J11" s="2" t="n"/>
    </row>
    <row r="12" ht="14.25" customHeight="1" s="46">
      <c r="A12" s="2" t="n"/>
      <c r="B12" s="2" t="n"/>
      <c r="C12" s="2" t="n"/>
      <c r="D12" s="2" t="n"/>
      <c r="E12" s="2" t="n"/>
      <c r="F12" s="2" t="n"/>
      <c r="G12" s="2" t="n"/>
      <c r="H12" s="2" t="n"/>
      <c r="I12" s="2" t="n"/>
      <c r="J12" s="2" t="n"/>
    </row>
    <row r="13" ht="14.25" customHeight="1" s="46">
      <c r="A13" s="2" t="n"/>
      <c r="B13" s="2" t="n"/>
      <c r="C13" s="2" t="n"/>
      <c r="D13" s="2" t="n"/>
      <c r="E13" s="2" t="n"/>
      <c r="F13" s="2" t="n"/>
      <c r="G13" s="2" t="n"/>
      <c r="H13" s="2" t="n"/>
      <c r="I13" s="2" t="n"/>
      <c r="J13" s="2" t="n"/>
    </row>
    <row r="14" ht="14.25" customHeight="1" s="46">
      <c r="A14" s="2" t="n"/>
      <c r="B14" s="2" t="n"/>
      <c r="C14" s="2" t="n"/>
      <c r="D14" s="2" t="n"/>
      <c r="E14" s="2" t="n"/>
      <c r="F14" s="2" t="n"/>
      <c r="G14" s="2" t="n"/>
      <c r="H14" s="2" t="n"/>
      <c r="I14" s="2" t="n"/>
      <c r="J14" s="2" t="n"/>
    </row>
    <row r="15" ht="14.25" customHeight="1" s="46">
      <c r="A15" s="2" t="n"/>
      <c r="B15" s="2" t="n"/>
      <c r="C15" s="2" t="n"/>
      <c r="D15" s="2" t="n"/>
      <c r="E15" s="2" t="n"/>
      <c r="F15" s="2" t="n"/>
      <c r="G15" s="2" t="n"/>
      <c r="H15" s="2" t="n"/>
      <c r="I15" s="2" t="n"/>
      <c r="J15" s="2" t="n"/>
    </row>
    <row r="16" ht="14.25" customHeight="1" s="46">
      <c r="A16" s="2" t="n"/>
      <c r="B16" s="2" t="n"/>
      <c r="C16" s="2" t="n"/>
      <c r="D16" s="2" t="n"/>
      <c r="E16" s="2" t="n"/>
      <c r="F16" s="2" t="n"/>
      <c r="G16" s="2" t="n"/>
      <c r="H16" s="2" t="n"/>
      <c r="I16" s="2" t="n"/>
      <c r="J16" s="2" t="n"/>
    </row>
    <row r="17" ht="14.25" customHeight="1" s="46">
      <c r="A17" s="2" t="n"/>
      <c r="B17" s="2" t="n"/>
      <c r="C17" s="2" t="n"/>
      <c r="D17" s="2" t="n"/>
      <c r="E17" s="2" t="n"/>
      <c r="F17" s="2" t="n"/>
      <c r="G17" s="2" t="n"/>
      <c r="H17" s="2" t="n"/>
      <c r="I17" s="2" t="n"/>
      <c r="J17" s="2" t="n"/>
    </row>
    <row r="18" ht="14.25" customHeight="1" s="46">
      <c r="A18" s="2" t="n"/>
      <c r="B18" s="2" t="n"/>
      <c r="C18" s="2" t="n"/>
      <c r="D18" s="2" t="n"/>
      <c r="E18" s="2" t="n"/>
      <c r="F18" s="2" t="n"/>
      <c r="G18" s="2" t="n"/>
      <c r="H18" s="2" t="n"/>
      <c r="I18" s="2" t="n"/>
      <c r="J18" s="2" t="n"/>
    </row>
    <row r="19" ht="14.25" customHeight="1" s="46">
      <c r="A19" s="2" t="n"/>
      <c r="B19" s="2" t="n"/>
      <c r="C19" s="2" t="n"/>
      <c r="D19" s="2" t="n"/>
      <c r="E19" s="2" t="n"/>
      <c r="F19" s="2" t="n"/>
      <c r="G19" s="2" t="n"/>
      <c r="H19" s="2" t="n"/>
      <c r="I19" s="2" t="n"/>
      <c r="J19" s="2" t="n"/>
    </row>
    <row r="20" ht="14.25" customHeight="1" s="46">
      <c r="A20" s="2" t="n"/>
      <c r="B20" s="2" t="n"/>
      <c r="C20" s="2" t="n"/>
      <c r="D20" s="2" t="n"/>
      <c r="E20" s="2" t="n"/>
      <c r="F20" s="2" t="n"/>
      <c r="G20" s="2" t="n"/>
      <c r="H20" s="2" t="n"/>
      <c r="I20" s="2" t="n"/>
      <c r="J20" s="2" t="n"/>
    </row>
    <row r="21" ht="14.25" customHeight="1" s="46">
      <c r="A21" s="2" t="n"/>
      <c r="B21" s="2" t="n"/>
      <c r="C21" s="2" t="n"/>
      <c r="D21" s="2" t="n"/>
      <c r="E21" s="2" t="n"/>
      <c r="F21" s="2" t="n"/>
      <c r="G21" s="2" t="n"/>
      <c r="H21" s="2" t="n"/>
      <c r="I21" s="2" t="n"/>
      <c r="J21" s="2" t="n"/>
    </row>
    <row r="22" ht="14.25" customHeight="1" s="46">
      <c r="A22" s="2" t="n"/>
      <c r="B22" s="2" t="n"/>
      <c r="C22" s="2" t="n"/>
      <c r="D22" s="2" t="n"/>
      <c r="E22" s="2" t="n"/>
      <c r="F22" s="2" t="n"/>
      <c r="G22" s="2" t="n"/>
      <c r="H22" s="2" t="n"/>
      <c r="I22" s="2" t="n"/>
      <c r="J22" s="2" t="n"/>
    </row>
    <row r="23" ht="14.25" customHeight="1" s="46">
      <c r="A23" s="2" t="n"/>
      <c r="B23" s="2" t="n"/>
      <c r="C23" s="2" t="n"/>
      <c r="D23" s="2" t="n"/>
      <c r="E23" s="2" t="n"/>
      <c r="F23" s="2" t="n"/>
      <c r="G23" s="2" t="n"/>
      <c r="H23" s="2" t="n"/>
      <c r="I23" s="2" t="n"/>
      <c r="J23" s="2" t="n"/>
    </row>
    <row r="24" ht="14.25" customHeight="1" s="46">
      <c r="A24" s="2" t="n"/>
      <c r="B24" s="2" t="n"/>
      <c r="C24" s="2" t="n"/>
      <c r="D24" s="2" t="n"/>
      <c r="E24" s="2" t="n"/>
      <c r="F24" s="2" t="n"/>
      <c r="G24" s="2" t="n"/>
      <c r="H24" s="2" t="n"/>
      <c r="I24" s="2" t="n"/>
      <c r="J24" s="2" t="n"/>
    </row>
    <row r="25" ht="14.25" customHeight="1" s="46">
      <c r="A25" s="2" t="n"/>
      <c r="B25" s="2" t="n"/>
      <c r="C25" s="2" t="n"/>
      <c r="D25" s="2" t="n"/>
      <c r="E25" s="2" t="n"/>
      <c r="F25" s="2" t="n"/>
      <c r="G25" s="2" t="n"/>
      <c r="H25" s="2" t="n"/>
      <c r="I25" s="2" t="n"/>
      <c r="J25" s="2" t="n"/>
    </row>
    <row r="26" ht="14.25" customHeight="1" s="46">
      <c r="A26" s="2" t="n"/>
      <c r="B26" s="2" t="n"/>
      <c r="C26" s="2" t="n"/>
      <c r="D26" s="2" t="n"/>
      <c r="E26" s="2" t="n"/>
      <c r="F26" s="2" t="n"/>
      <c r="G26" s="2" t="n"/>
      <c r="H26" s="2" t="n"/>
      <c r="I26" s="2" t="n"/>
      <c r="J26" s="2" t="n"/>
    </row>
    <row r="27" ht="14.25" customHeight="1" s="46">
      <c r="A27" s="2" t="n"/>
      <c r="B27" s="2" t="n"/>
      <c r="C27" s="2" t="n"/>
      <c r="D27" s="2" t="n"/>
      <c r="E27" s="2" t="n"/>
      <c r="F27" s="2" t="n"/>
      <c r="G27" s="2" t="n"/>
      <c r="H27" s="2" t="n"/>
      <c r="I27" s="2" t="n"/>
      <c r="J27" s="2" t="n"/>
    </row>
    <row r="28" ht="14.25" customHeight="1" s="46">
      <c r="A28" s="2" t="n"/>
      <c r="B28" s="2" t="n"/>
      <c r="C28" s="2" t="n"/>
      <c r="D28" s="2" t="n"/>
      <c r="E28" s="2" t="n"/>
      <c r="F28" s="2" t="n"/>
      <c r="G28" s="2" t="n"/>
      <c r="H28" s="2" t="n"/>
      <c r="I28" s="2" t="n"/>
      <c r="J28" s="2" t="n"/>
    </row>
    <row r="29" ht="14.25" customHeight="1" s="46">
      <c r="A29" s="2" t="n"/>
      <c r="B29" s="2" t="n"/>
      <c r="C29" s="2" t="n"/>
      <c r="D29" s="2" t="n"/>
      <c r="E29" s="2" t="n"/>
      <c r="F29" s="2" t="n"/>
      <c r="G29" s="2" t="n"/>
      <c r="H29" s="2" t="n"/>
      <c r="I29" s="2" t="n"/>
      <c r="J29" s="2" t="n"/>
    </row>
    <row r="30" ht="14.25" customHeight="1" s="46">
      <c r="A30" s="2" t="n"/>
      <c r="B30" s="2" t="n"/>
      <c r="C30" s="2" t="n"/>
      <c r="D30" s="2" t="n"/>
      <c r="E30" s="2" t="n"/>
      <c r="F30" s="2" t="n"/>
      <c r="G30" s="2" t="n"/>
      <c r="H30" s="2" t="n"/>
      <c r="I30" s="2" t="n"/>
      <c r="J30" s="2" t="n"/>
    </row>
    <row r="31" ht="14.25" customHeight="1" s="46">
      <c r="A31" s="2" t="n"/>
      <c r="B31" s="2" t="n"/>
      <c r="C31" s="2" t="n"/>
      <c r="D31" s="2" t="n"/>
      <c r="E31" s="2" t="n"/>
      <c r="F31" s="2" t="n"/>
      <c r="G31" s="2" t="n"/>
      <c r="H31" s="2" t="n"/>
      <c r="I31" s="2" t="n"/>
      <c r="J31" s="2" t="n"/>
    </row>
    <row r="32" ht="14.25" customHeight="1" s="46">
      <c r="A32" s="2" t="n"/>
      <c r="B32" s="2" t="n"/>
      <c r="C32" s="2" t="n"/>
      <c r="D32" s="2" t="n"/>
      <c r="E32" s="2" t="n"/>
      <c r="F32" s="2" t="n"/>
      <c r="G32" s="2" t="n"/>
      <c r="H32" s="2" t="n"/>
      <c r="I32" s="2" t="n"/>
      <c r="J32" s="2" t="n"/>
    </row>
    <row r="33" ht="14.25" customHeight="1" s="46">
      <c r="A33" s="2" t="n"/>
      <c r="B33" s="2" t="n"/>
      <c r="C33" s="2" t="n"/>
      <c r="D33" s="2" t="n"/>
      <c r="E33" s="2" t="n"/>
      <c r="F33" s="2" t="n"/>
      <c r="G33" s="2" t="n"/>
      <c r="H33" s="2" t="n"/>
      <c r="I33" s="2" t="n"/>
      <c r="J33" s="2" t="n"/>
    </row>
    <row r="34" ht="14.25" customHeight="1" s="46">
      <c r="A34" s="2" t="n"/>
      <c r="B34" s="2" t="n"/>
      <c r="C34" s="2" t="n"/>
      <c r="D34" s="2" t="n"/>
      <c r="E34" s="2" t="n"/>
      <c r="F34" s="2" t="n"/>
      <c r="G34" s="2" t="n"/>
      <c r="H34" s="2" t="n"/>
      <c r="I34" s="2" t="n"/>
      <c r="J34" s="2" t="n"/>
    </row>
    <row r="35" ht="14.25" customHeight="1" s="46">
      <c r="A35" s="2" t="n"/>
      <c r="B35" s="2" t="n"/>
      <c r="C35" s="2" t="n"/>
      <c r="D35" s="2" t="n"/>
      <c r="E35" s="2" t="n"/>
      <c r="F35" s="2" t="n"/>
      <c r="G35" s="2" t="n"/>
      <c r="H35" s="2" t="n"/>
      <c r="I35" s="2" t="n"/>
      <c r="J35" s="2" t="n"/>
    </row>
    <row r="36" ht="14.25" customHeight="1" s="46">
      <c r="A36" s="2" t="n"/>
      <c r="B36" s="2" t="n"/>
      <c r="C36" s="2" t="n"/>
      <c r="D36" s="2" t="n"/>
      <c r="E36" s="2" t="n"/>
      <c r="F36" s="2" t="n"/>
      <c r="G36" s="2" t="n"/>
      <c r="H36" s="2" t="n"/>
      <c r="I36" s="2" t="n"/>
      <c r="J36" s="2" t="n"/>
    </row>
    <row r="37" ht="14.25" customHeight="1" s="46">
      <c r="A37" s="2" t="n"/>
      <c r="B37" s="2" t="n"/>
      <c r="C37" s="2" t="n"/>
      <c r="D37" s="2" t="n"/>
      <c r="E37" s="2" t="n"/>
      <c r="F37" s="2" t="n"/>
      <c r="G37" s="2" t="n"/>
      <c r="H37" s="2" t="n"/>
      <c r="I37" s="2" t="n"/>
      <c r="J37" s="2" t="n"/>
    </row>
    <row r="38" ht="14.25" customHeight="1" s="46">
      <c r="A38" s="2" t="n"/>
      <c r="B38" s="2" t="n"/>
      <c r="C38" s="2" t="n"/>
      <c r="D38" s="2" t="n"/>
      <c r="E38" s="2" t="n"/>
      <c r="F38" s="2" t="n"/>
      <c r="G38" s="2" t="n"/>
      <c r="H38" s="2" t="n"/>
      <c r="I38" s="2" t="n"/>
      <c r="J38" s="2" t="n"/>
    </row>
    <row r="39" ht="14.25" customHeight="1" s="46">
      <c r="A39" s="2" t="n"/>
      <c r="B39" s="2" t="n"/>
      <c r="C39" s="2" t="n"/>
      <c r="D39" s="2" t="n"/>
      <c r="E39" s="2" t="n"/>
      <c r="F39" s="2" t="n"/>
      <c r="G39" s="2" t="n"/>
      <c r="H39" s="2" t="n"/>
      <c r="I39" s="2" t="n"/>
      <c r="J39" s="2" t="n"/>
    </row>
    <row r="40" ht="14.25" customHeight="1" s="46">
      <c r="A40" s="2" t="n"/>
      <c r="B40" s="2" t="n"/>
      <c r="C40" s="2" t="n"/>
      <c r="D40" s="2" t="n"/>
      <c r="E40" s="2" t="n"/>
      <c r="F40" s="2" t="n"/>
      <c r="G40" s="2" t="n"/>
      <c r="H40" s="2" t="n"/>
      <c r="I40" s="2" t="n"/>
      <c r="J40" s="2" t="n"/>
    </row>
    <row r="41" ht="14.25" customHeight="1" s="46">
      <c r="A41" s="2" t="n"/>
      <c r="B41" s="2" t="n"/>
      <c r="C41" s="2" t="n"/>
      <c r="D41" s="2" t="n"/>
      <c r="E41" s="2" t="n"/>
      <c r="F41" s="2" t="n"/>
      <c r="G41" s="2" t="n"/>
      <c r="H41" s="2" t="n"/>
      <c r="I41" s="2" t="n"/>
      <c r="J41" s="2" t="n"/>
    </row>
    <row r="42" ht="14.25" customHeight="1" s="46">
      <c r="A42" s="2" t="n"/>
      <c r="B42" s="2" t="n"/>
      <c r="C42" s="2" t="n"/>
      <c r="D42" s="2" t="n"/>
      <c r="E42" s="2" t="n"/>
      <c r="F42" s="2" t="n"/>
      <c r="G42" s="2" t="n"/>
      <c r="H42" s="2" t="n"/>
      <c r="I42" s="2" t="n"/>
      <c r="J42" s="2" t="n"/>
    </row>
    <row r="43" ht="14.25" customHeight="1" s="46">
      <c r="A43" s="2" t="n"/>
      <c r="B43" s="2" t="n"/>
      <c r="C43" s="2" t="n"/>
      <c r="D43" s="2" t="n"/>
      <c r="E43" s="2" t="n"/>
      <c r="F43" s="2" t="n"/>
      <c r="G43" s="2" t="n"/>
      <c r="H43" s="2" t="n"/>
      <c r="I43" s="2" t="n"/>
      <c r="J43" s="2" t="n"/>
    </row>
    <row r="44" ht="14.25" customHeight="1" s="46">
      <c r="A44" s="2" t="n"/>
      <c r="B44" s="2" t="n"/>
      <c r="C44" s="2" t="n"/>
      <c r="D44" s="2" t="n"/>
      <c r="E44" s="2" t="n"/>
      <c r="F44" s="2" t="n"/>
      <c r="G44" s="2" t="n"/>
      <c r="H44" s="2" t="n"/>
      <c r="I44" s="2" t="n"/>
      <c r="J44" s="2" t="n"/>
    </row>
    <row r="45" ht="14.25" customHeight="1" s="46">
      <c r="A45" s="2" t="n"/>
      <c r="B45" s="2" t="n"/>
      <c r="C45" s="2" t="n"/>
      <c r="D45" s="2" t="n"/>
      <c r="E45" s="2" t="n"/>
      <c r="F45" s="2" t="n"/>
      <c r="G45" s="2" t="n"/>
      <c r="H45" s="2" t="n"/>
      <c r="I45" s="2" t="n"/>
      <c r="J45" s="2" t="n"/>
    </row>
    <row r="46" ht="14.25" customHeight="1" s="46">
      <c r="A46" s="2" t="n"/>
      <c r="B46" s="2" t="n"/>
      <c r="C46" s="2" t="n"/>
      <c r="D46" s="2" t="n"/>
      <c r="E46" s="2" t="n"/>
      <c r="F46" s="2" t="n"/>
      <c r="G46" s="2" t="n"/>
      <c r="H46" s="2" t="n"/>
      <c r="I46" s="2" t="n"/>
      <c r="J46" s="2" t="n"/>
    </row>
    <row r="47" ht="14.25" customHeight="1" s="46">
      <c r="A47" s="2" t="n"/>
      <c r="B47" s="2" t="n"/>
      <c r="C47" s="2" t="n"/>
      <c r="D47" s="2" t="n"/>
      <c r="E47" s="2" t="n"/>
      <c r="F47" s="2" t="n"/>
      <c r="G47" s="2" t="n"/>
      <c r="H47" s="2" t="n"/>
      <c r="I47" s="2" t="n"/>
      <c r="J47" s="2" t="n"/>
    </row>
    <row r="48" ht="14.25" customHeight="1" s="46">
      <c r="A48" s="2" t="n"/>
      <c r="B48" s="2" t="n"/>
      <c r="C48" s="2" t="n"/>
      <c r="D48" s="2" t="n"/>
      <c r="E48" s="2" t="n"/>
      <c r="F48" s="2" t="n"/>
      <c r="G48" s="2" t="n"/>
      <c r="H48" s="2" t="n"/>
      <c r="I48" s="2" t="n"/>
      <c r="J48" s="2" t="n"/>
    </row>
    <row r="49" ht="14.25" customHeight="1" s="46">
      <c r="A49" s="2" t="n"/>
      <c r="B49" s="2" t="n"/>
      <c r="C49" s="2" t="n"/>
      <c r="D49" s="2" t="n"/>
      <c r="E49" s="2" t="n"/>
      <c r="F49" s="2" t="n"/>
      <c r="G49" s="2" t="n"/>
      <c r="H49" s="2" t="n"/>
      <c r="I49" s="2" t="n"/>
      <c r="J49" s="2" t="n"/>
    </row>
    <row r="50" ht="14.25" customHeight="1" s="46">
      <c r="A50" s="2" t="n"/>
      <c r="B50" s="2" t="n"/>
      <c r="C50" s="2" t="n"/>
      <c r="D50" s="2" t="n"/>
      <c r="E50" s="2" t="n"/>
      <c r="F50" s="2" t="n"/>
      <c r="G50" s="2" t="n"/>
      <c r="H50" s="2" t="n"/>
      <c r="I50" s="2" t="n"/>
      <c r="J50" s="2" t="n"/>
    </row>
    <row r="51" ht="14.25" customHeight="1" s="46">
      <c r="A51" s="2" t="n"/>
      <c r="B51" s="2" t="n"/>
      <c r="C51" s="2" t="n"/>
      <c r="D51" s="2" t="n"/>
      <c r="E51" s="2" t="n"/>
      <c r="F51" s="2" t="n"/>
      <c r="G51" s="2" t="n"/>
      <c r="H51" s="2" t="n"/>
      <c r="I51" s="2" t="n"/>
      <c r="J51" s="2" t="n"/>
    </row>
    <row r="52" ht="14.25" customHeight="1" s="46">
      <c r="A52" s="2" t="n"/>
      <c r="B52" s="2" t="n"/>
      <c r="C52" s="2" t="n"/>
      <c r="D52" s="2" t="n"/>
      <c r="E52" s="2" t="n"/>
      <c r="F52" s="2" t="n"/>
      <c r="G52" s="2" t="n"/>
      <c r="H52" s="2" t="n"/>
      <c r="I52" s="2" t="n"/>
      <c r="J52" s="2" t="n"/>
    </row>
    <row r="53" ht="14.25" customHeight="1" s="46">
      <c r="A53" s="2" t="n"/>
      <c r="B53" s="2" t="n"/>
      <c r="C53" s="2" t="n"/>
      <c r="D53" s="2" t="n"/>
      <c r="E53" s="2" t="n"/>
      <c r="F53" s="2" t="n"/>
      <c r="G53" s="2" t="n"/>
      <c r="H53" s="2" t="n"/>
      <c r="I53" s="2" t="n"/>
      <c r="J53" s="2" t="n"/>
    </row>
    <row r="54" ht="14.25" customHeight="1" s="46">
      <c r="A54" s="2" t="n"/>
      <c r="B54" s="2" t="n"/>
      <c r="C54" s="2" t="n"/>
      <c r="D54" s="2" t="n"/>
      <c r="E54" s="2" t="n"/>
      <c r="F54" s="2" t="n"/>
      <c r="G54" s="2" t="n"/>
      <c r="H54" s="2" t="n"/>
      <c r="I54" s="2" t="n"/>
      <c r="J54" s="2" t="n"/>
    </row>
    <row r="55" ht="14.25" customHeight="1" s="46">
      <c r="A55" s="2" t="n"/>
      <c r="B55" s="2" t="n"/>
      <c r="C55" s="2" t="n"/>
      <c r="D55" s="2" t="n"/>
      <c r="E55" s="2" t="n"/>
      <c r="F55" s="2" t="n"/>
      <c r="G55" s="2" t="n"/>
      <c r="H55" s="2" t="n"/>
      <c r="I55" s="2" t="n"/>
      <c r="J55" s="2" t="n"/>
    </row>
    <row r="56" ht="14.25" customHeight="1" s="46">
      <c r="A56" s="2" t="n"/>
      <c r="B56" s="2" t="n"/>
      <c r="C56" s="2" t="n"/>
      <c r="D56" s="2" t="n"/>
      <c r="E56" s="2" t="n"/>
      <c r="F56" s="2" t="n"/>
      <c r="G56" s="2" t="n"/>
      <c r="H56" s="2" t="n"/>
      <c r="I56" s="2" t="n"/>
      <c r="J56" s="2" t="n"/>
    </row>
    <row r="57" ht="14.25" customHeight="1" s="46">
      <c r="A57" s="2" t="n"/>
      <c r="B57" s="2" t="n"/>
      <c r="C57" s="2" t="n"/>
      <c r="D57" s="2" t="n"/>
      <c r="E57" s="2" t="n"/>
      <c r="F57" s="2" t="n"/>
      <c r="G57" s="2" t="n"/>
      <c r="H57" s="2" t="n"/>
      <c r="I57" s="2" t="n"/>
      <c r="J57" s="2" t="n"/>
    </row>
    <row r="58" ht="14.25" customHeight="1" s="46">
      <c r="A58" s="2" t="n"/>
      <c r="B58" s="2" t="n"/>
      <c r="C58" s="2" t="n"/>
      <c r="D58" s="2" t="n"/>
      <c r="E58" s="2" t="n"/>
      <c r="F58" s="2" t="n"/>
      <c r="G58" s="2" t="n"/>
      <c r="H58" s="2" t="n"/>
      <c r="I58" s="2" t="n"/>
      <c r="J58" s="2" t="n"/>
    </row>
    <row r="59" ht="14.25" customHeight="1" s="46">
      <c r="A59" s="2" t="n"/>
      <c r="B59" s="2" t="n"/>
      <c r="C59" s="2" t="n"/>
      <c r="D59" s="2" t="n"/>
      <c r="E59" s="2" t="n"/>
      <c r="F59" s="2" t="n"/>
      <c r="G59" s="2" t="n"/>
      <c r="H59" s="2" t="n"/>
      <c r="I59" s="2" t="n"/>
      <c r="J59" s="2" t="n"/>
    </row>
    <row r="60" ht="14.25" customHeight="1" s="46">
      <c r="A60" s="2" t="n"/>
      <c r="B60" s="2" t="n"/>
      <c r="C60" s="2" t="n"/>
      <c r="D60" s="2" t="n"/>
      <c r="E60" s="2" t="n"/>
      <c r="F60" s="2" t="n"/>
      <c r="G60" s="2" t="n"/>
      <c r="H60" s="2" t="n"/>
      <c r="I60" s="2" t="n"/>
      <c r="J60" s="2" t="n"/>
    </row>
    <row r="61" ht="14.25" customHeight="1" s="46">
      <c r="A61" s="2" t="n"/>
      <c r="B61" s="2" t="n"/>
      <c r="C61" s="2" t="n"/>
      <c r="D61" s="2" t="n"/>
      <c r="E61" s="2" t="n"/>
      <c r="F61" s="2" t="n"/>
      <c r="G61" s="2" t="n"/>
      <c r="H61" s="2" t="n"/>
      <c r="I61" s="2" t="n"/>
      <c r="J61" s="2" t="n"/>
    </row>
    <row r="62" ht="14.25" customHeight="1" s="46">
      <c r="A62" s="2" t="n"/>
      <c r="B62" s="2" t="n"/>
      <c r="C62" s="2" t="n"/>
      <c r="D62" s="2" t="n"/>
      <c r="E62" s="2" t="n"/>
      <c r="F62" s="2" t="n"/>
      <c r="G62" s="2" t="n"/>
      <c r="H62" s="2" t="n"/>
      <c r="I62" s="2" t="n"/>
      <c r="J62" s="2" t="n"/>
    </row>
    <row r="63" ht="14.25" customHeight="1" s="46">
      <c r="A63" s="2" t="n"/>
      <c r="B63" s="2" t="n"/>
      <c r="C63" s="2" t="n"/>
      <c r="D63" s="2" t="n"/>
      <c r="E63" s="2" t="n"/>
      <c r="F63" s="2" t="n"/>
      <c r="G63" s="2" t="n"/>
      <c r="H63" s="2" t="n"/>
      <c r="I63" s="2" t="n"/>
      <c r="J63" s="2" t="n"/>
    </row>
    <row r="64" ht="14.25" customHeight="1" s="46">
      <c r="A64" s="2" t="n"/>
      <c r="B64" s="2" t="n"/>
      <c r="C64" s="2" t="n"/>
      <c r="D64" s="2" t="n"/>
      <c r="E64" s="2" t="n"/>
      <c r="F64" s="2" t="n"/>
      <c r="G64" s="2" t="n"/>
      <c r="H64" s="2" t="n"/>
      <c r="I64" s="2" t="n"/>
      <c r="J64" s="2" t="n"/>
    </row>
    <row r="65" ht="14.25" customHeight="1" s="46">
      <c r="A65" s="2" t="n"/>
      <c r="B65" s="2" t="n"/>
      <c r="C65" s="2" t="n"/>
      <c r="D65" s="2" t="n"/>
      <c r="E65" s="2" t="n"/>
      <c r="F65" s="2" t="n"/>
      <c r="G65" s="2" t="n"/>
      <c r="H65" s="2" t="n"/>
      <c r="I65" s="2" t="n"/>
      <c r="J65" s="2" t="n"/>
    </row>
    <row r="66" ht="14.25" customHeight="1" s="46">
      <c r="A66" s="2" t="n"/>
      <c r="B66" s="2" t="n"/>
      <c r="C66" s="2" t="n"/>
      <c r="D66" s="2" t="n"/>
      <c r="E66" s="2" t="n"/>
      <c r="F66" s="2" t="n"/>
      <c r="G66" s="2" t="n"/>
      <c r="H66" s="2" t="n"/>
      <c r="I66" s="2" t="n"/>
      <c r="J66" s="2" t="n"/>
    </row>
    <row r="67" ht="14.25" customHeight="1" s="46">
      <c r="A67" s="2" t="n"/>
      <c r="B67" s="2" t="n"/>
      <c r="C67" s="2" t="n"/>
      <c r="D67" s="2" t="n"/>
      <c r="E67" s="2" t="n"/>
      <c r="F67" s="2" t="n"/>
      <c r="G67" s="2" t="n"/>
      <c r="H67" s="2" t="n"/>
      <c r="I67" s="2" t="n"/>
      <c r="J67" s="2" t="n"/>
    </row>
    <row r="68" ht="14.25" customHeight="1" s="46">
      <c r="A68" s="2" t="n"/>
      <c r="B68" s="2" t="n"/>
      <c r="C68" s="2" t="n"/>
      <c r="D68" s="2" t="n"/>
      <c r="E68" s="2" t="n"/>
      <c r="F68" s="2" t="n"/>
      <c r="G68" s="2" t="n"/>
      <c r="H68" s="2" t="n"/>
      <c r="I68" s="2" t="n"/>
      <c r="J68" s="2" t="n"/>
    </row>
    <row r="69" ht="14.25" customHeight="1" s="46">
      <c r="A69" s="2" t="n"/>
      <c r="B69" s="2" t="n"/>
      <c r="C69" s="2" t="n"/>
      <c r="D69" s="2" t="n"/>
      <c r="E69" s="2" t="n"/>
      <c r="F69" s="2" t="n"/>
      <c r="G69" s="2" t="n"/>
      <c r="H69" s="2" t="n"/>
      <c r="I69" s="2" t="n"/>
      <c r="J69" s="2" t="n"/>
    </row>
    <row r="70" ht="14.25" customHeight="1" s="46">
      <c r="A70" s="2" t="n"/>
      <c r="B70" s="2" t="n"/>
      <c r="C70" s="2" t="n"/>
      <c r="D70" s="2" t="n"/>
      <c r="E70" s="2" t="n"/>
      <c r="F70" s="2" t="n"/>
      <c r="G70" s="2" t="n"/>
      <c r="H70" s="2" t="n"/>
      <c r="I70" s="2" t="n"/>
      <c r="J70" s="2" t="n"/>
    </row>
    <row r="71" ht="14.25" customHeight="1" s="46">
      <c r="A71" s="2" t="n"/>
      <c r="B71" s="2" t="n"/>
      <c r="C71" s="2" t="n"/>
      <c r="D71" s="2" t="n"/>
      <c r="E71" s="2" t="n"/>
      <c r="F71" s="2" t="n"/>
      <c r="G71" s="2" t="n"/>
      <c r="H71" s="2" t="n"/>
      <c r="I71" s="2" t="n"/>
      <c r="J71" s="2" t="n"/>
    </row>
    <row r="72" ht="14.25" customHeight="1" s="46">
      <c r="A72" s="2" t="n"/>
      <c r="B72" s="2" t="n"/>
      <c r="C72" s="2" t="n"/>
      <c r="D72" s="2" t="n"/>
      <c r="E72" s="2" t="n"/>
      <c r="F72" s="2" t="n"/>
      <c r="G72" s="2" t="n"/>
      <c r="H72" s="2" t="n"/>
      <c r="I72" s="2" t="n"/>
      <c r="J72" s="2" t="n"/>
    </row>
    <row r="73" ht="14.25" customHeight="1" s="46">
      <c r="A73" s="2" t="n"/>
      <c r="B73" s="2" t="n"/>
      <c r="C73" s="2" t="n"/>
      <c r="D73" s="2" t="n"/>
      <c r="E73" s="2" t="n"/>
      <c r="F73" s="2" t="n"/>
      <c r="G73" s="2" t="n"/>
      <c r="H73" s="2" t="n"/>
      <c r="I73" s="2" t="n"/>
      <c r="J73" s="2" t="n"/>
    </row>
    <row r="74" ht="14.25" customHeight="1" s="46">
      <c r="A74" s="2" t="n"/>
      <c r="B74" s="2" t="n"/>
      <c r="C74" s="2" t="n"/>
      <c r="D74" s="2" t="n"/>
      <c r="E74" s="2" t="n"/>
      <c r="F74" s="2" t="n"/>
      <c r="G74" s="2" t="n"/>
      <c r="H74" s="2" t="n"/>
      <c r="I74" s="2" t="n"/>
      <c r="J74" s="2" t="n"/>
    </row>
    <row r="75" ht="14.25" customHeight="1" s="46">
      <c r="A75" s="2" t="n"/>
      <c r="B75" s="2" t="n"/>
      <c r="C75" s="2" t="n"/>
      <c r="D75" s="2" t="n"/>
      <c r="E75" s="2" t="n"/>
      <c r="F75" s="2" t="n"/>
      <c r="G75" s="2" t="n"/>
      <c r="H75" s="2" t="n"/>
      <c r="I75" s="2" t="n"/>
      <c r="J75" s="2" t="n"/>
    </row>
    <row r="76" ht="14.25" customHeight="1" s="46">
      <c r="A76" s="2" t="n"/>
      <c r="B76" s="2" t="n"/>
      <c r="C76" s="2" t="n"/>
      <c r="D76" s="2" t="n"/>
      <c r="E76" s="2" t="n"/>
      <c r="F76" s="2" t="n"/>
      <c r="G76" s="2" t="n"/>
      <c r="H76" s="2" t="n"/>
      <c r="I76" s="2" t="n"/>
      <c r="J76" s="2" t="n"/>
    </row>
    <row r="77" ht="14.25" customHeight="1" s="46">
      <c r="A77" s="2" t="n"/>
      <c r="B77" s="2" t="n"/>
      <c r="C77" s="2" t="n"/>
      <c r="D77" s="2" t="n"/>
      <c r="E77" s="2" t="n"/>
      <c r="F77" s="2" t="n"/>
      <c r="G77" s="2" t="n"/>
      <c r="H77" s="2" t="n"/>
      <c r="I77" s="2" t="n"/>
      <c r="J77" s="2" t="n"/>
    </row>
    <row r="78" ht="14.25" customHeight="1" s="46">
      <c r="A78" s="2" t="n"/>
      <c r="B78" s="2" t="n"/>
      <c r="C78" s="2" t="n"/>
      <c r="D78" s="2" t="n"/>
      <c r="E78" s="2" t="n"/>
      <c r="F78" s="2" t="n"/>
      <c r="G78" s="2" t="n"/>
      <c r="H78" s="2" t="n"/>
      <c r="I78" s="2" t="n"/>
      <c r="J78" s="2" t="n"/>
    </row>
    <row r="79" ht="14.25" customHeight="1" s="46">
      <c r="A79" s="2" t="n"/>
      <c r="B79" s="2" t="n"/>
      <c r="C79" s="2" t="n"/>
      <c r="D79" s="2" t="n"/>
      <c r="E79" s="2" t="n"/>
      <c r="F79" s="2" t="n"/>
      <c r="G79" s="2" t="n"/>
      <c r="H79" s="2" t="n"/>
      <c r="I79" s="2" t="n"/>
      <c r="J79" s="2" t="n"/>
    </row>
    <row r="80" ht="14.25" customHeight="1" s="46">
      <c r="A80" s="2" t="n"/>
      <c r="B80" s="2" t="n"/>
      <c r="C80" s="2" t="n"/>
      <c r="D80" s="2" t="n"/>
      <c r="E80" s="2" t="n"/>
      <c r="F80" s="2" t="n"/>
      <c r="G80" s="2" t="n"/>
      <c r="H80" s="2" t="n"/>
      <c r="I80" s="2" t="n"/>
      <c r="J80" s="2" t="n"/>
    </row>
    <row r="81" ht="14.25" customHeight="1" s="46">
      <c r="A81" s="2" t="n"/>
      <c r="B81" s="2" t="n"/>
      <c r="C81" s="2" t="n"/>
      <c r="D81" s="2" t="n"/>
      <c r="E81" s="2" t="n"/>
      <c r="F81" s="2" t="n"/>
      <c r="G81" s="2" t="n"/>
      <c r="H81" s="2" t="n"/>
      <c r="I81" s="2" t="n"/>
      <c r="J81" s="2" t="n"/>
    </row>
    <row r="82" ht="14.25" customHeight="1" s="46">
      <c r="A82" s="2" t="n"/>
      <c r="B82" s="2" t="n"/>
      <c r="C82" s="2" t="n"/>
      <c r="D82" s="2" t="n"/>
      <c r="E82" s="2" t="n"/>
      <c r="F82" s="2" t="n"/>
      <c r="G82" s="2" t="n"/>
      <c r="H82" s="2" t="n"/>
      <c r="I82" s="2" t="n"/>
      <c r="J82" s="2" t="n"/>
    </row>
    <row r="83" ht="14.25" customHeight="1" s="46">
      <c r="A83" s="2" t="n"/>
      <c r="B83" s="2" t="n"/>
      <c r="C83" s="2" t="n"/>
      <c r="D83" s="2" t="n"/>
      <c r="E83" s="2" t="n"/>
      <c r="F83" s="2" t="n"/>
      <c r="G83" s="2" t="n"/>
      <c r="H83" s="2" t="n"/>
      <c r="I83" s="2" t="n"/>
      <c r="J83" s="2" t="n"/>
    </row>
    <row r="84" ht="14.25" customHeight="1" s="46">
      <c r="A84" s="2" t="n"/>
      <c r="B84" s="2" t="n"/>
      <c r="C84" s="2" t="n"/>
      <c r="D84" s="2" t="n"/>
      <c r="E84" s="2" t="n"/>
      <c r="F84" s="2" t="n"/>
      <c r="G84" s="2" t="n"/>
      <c r="H84" s="2" t="n"/>
      <c r="I84" s="2" t="n"/>
      <c r="J84" s="2" t="n"/>
    </row>
    <row r="85" ht="14.25" customHeight="1" s="46">
      <c r="A85" s="2" t="n"/>
      <c r="B85" s="2" t="n"/>
      <c r="C85" s="2" t="n"/>
      <c r="D85" s="2" t="n"/>
      <c r="E85" s="2" t="n"/>
      <c r="F85" s="2" t="n"/>
      <c r="G85" s="2" t="n"/>
      <c r="H85" s="2" t="n"/>
      <c r="I85" s="2" t="n"/>
      <c r="J85" s="2" t="n"/>
    </row>
    <row r="86" ht="14.25" customHeight="1" s="46">
      <c r="A86" s="2" t="n"/>
      <c r="B86" s="2" t="n"/>
      <c r="C86" s="2" t="n"/>
      <c r="D86" s="2" t="n"/>
      <c r="E86" s="2" t="n"/>
      <c r="F86" s="2" t="n"/>
      <c r="G86" s="2" t="n"/>
      <c r="H86" s="2" t="n"/>
      <c r="I86" s="2" t="n"/>
      <c r="J86" s="2" t="n"/>
    </row>
    <row r="87" ht="14.25" customHeight="1" s="46">
      <c r="A87" s="2" t="n"/>
      <c r="B87" s="2" t="n"/>
      <c r="C87" s="2" t="n"/>
      <c r="D87" s="2" t="n"/>
      <c r="E87" s="2" t="n"/>
      <c r="F87" s="2" t="n"/>
      <c r="G87" s="2" t="n"/>
      <c r="H87" s="2" t="n"/>
      <c r="I87" s="2" t="n"/>
      <c r="J87" s="2" t="n"/>
    </row>
    <row r="88" ht="14.25" customHeight="1" s="46">
      <c r="A88" s="2" t="n"/>
      <c r="B88" s="2" t="n"/>
      <c r="C88" s="2" t="n"/>
      <c r="D88" s="2" t="n"/>
      <c r="E88" s="2" t="n"/>
      <c r="F88" s="2" t="n"/>
      <c r="G88" s="2" t="n"/>
      <c r="H88" s="2" t="n"/>
      <c r="I88" s="2" t="n"/>
      <c r="J88" s="2" t="n"/>
    </row>
    <row r="89" ht="14.25" customHeight="1" s="46">
      <c r="A89" s="2" t="n"/>
      <c r="B89" s="2" t="n"/>
      <c r="C89" s="2" t="n"/>
      <c r="D89" s="2" t="n"/>
      <c r="E89" s="2" t="n"/>
      <c r="F89" s="2" t="n"/>
      <c r="G89" s="2" t="n"/>
      <c r="H89" s="2" t="n"/>
      <c r="I89" s="2" t="n"/>
      <c r="J89" s="2" t="n"/>
    </row>
    <row r="90" ht="14.25" customHeight="1" s="46">
      <c r="A90" s="2" t="n"/>
      <c r="B90" s="2" t="n"/>
      <c r="C90" s="2" t="n"/>
      <c r="D90" s="2" t="n"/>
      <c r="E90" s="2" t="n"/>
      <c r="F90" s="2" t="n"/>
      <c r="G90" s="2" t="n"/>
      <c r="H90" s="2" t="n"/>
      <c r="I90" s="2" t="n"/>
      <c r="J90" s="2" t="n"/>
    </row>
    <row r="91" ht="14.25" customHeight="1" s="46">
      <c r="A91" s="2" t="n"/>
      <c r="B91" s="2" t="n"/>
      <c r="C91" s="2" t="n"/>
      <c r="D91" s="2" t="n"/>
      <c r="E91" s="2" t="n"/>
      <c r="F91" s="2" t="n"/>
      <c r="G91" s="2" t="n"/>
      <c r="H91" s="2" t="n"/>
      <c r="I91" s="2" t="n"/>
      <c r="J91" s="2" t="n"/>
    </row>
    <row r="92" ht="14.25" customHeight="1" s="46">
      <c r="A92" s="2" t="n"/>
      <c r="B92" s="2" t="n"/>
      <c r="C92" s="2" t="n"/>
      <c r="D92" s="2" t="n"/>
      <c r="E92" s="2" t="n"/>
      <c r="F92" s="2" t="n"/>
      <c r="G92" s="2" t="n"/>
      <c r="H92" s="2" t="n"/>
      <c r="I92" s="2" t="n"/>
      <c r="J92" s="2" t="n"/>
    </row>
    <row r="93" ht="14.25" customHeight="1" s="46">
      <c r="A93" s="2" t="n"/>
      <c r="B93" s="2" t="n"/>
      <c r="C93" s="2" t="n"/>
      <c r="D93" s="2" t="n"/>
      <c r="E93" s="2" t="n"/>
      <c r="F93" s="2" t="n"/>
      <c r="G93" s="2" t="n"/>
      <c r="H93" s="2" t="n"/>
      <c r="I93" s="2" t="n"/>
      <c r="J93" s="2" t="n"/>
    </row>
    <row r="94" ht="14.25" customHeight="1" s="46">
      <c r="A94" s="2" t="n"/>
      <c r="B94" s="2" t="n"/>
      <c r="C94" s="2" t="n"/>
      <c r="D94" s="2" t="n"/>
      <c r="E94" s="2" t="n"/>
      <c r="F94" s="2" t="n"/>
      <c r="G94" s="2" t="n"/>
      <c r="H94" s="2" t="n"/>
      <c r="I94" s="2" t="n"/>
      <c r="J94" s="2" t="n"/>
    </row>
    <row r="95" ht="14.25" customHeight="1" s="46">
      <c r="A95" s="2" t="n"/>
      <c r="B95" s="2" t="n"/>
      <c r="C95" s="2" t="n"/>
      <c r="D95" s="2" t="n"/>
      <c r="E95" s="2" t="n"/>
      <c r="F95" s="2" t="n"/>
      <c r="G95" s="2" t="n"/>
      <c r="H95" s="2" t="n"/>
      <c r="I95" s="2" t="n"/>
      <c r="J95" s="2" t="n"/>
    </row>
    <row r="96" ht="14.25" customHeight="1" s="46">
      <c r="A96" s="2" t="n"/>
      <c r="B96" s="2" t="n"/>
      <c r="C96" s="2" t="n"/>
      <c r="D96" s="2" t="n"/>
      <c r="E96" s="2" t="n"/>
      <c r="F96" s="2" t="n"/>
      <c r="G96" s="2" t="n"/>
      <c r="H96" s="2" t="n"/>
      <c r="I96" s="2" t="n"/>
      <c r="J96" s="2" t="n"/>
    </row>
    <row r="97" ht="14.25" customHeight="1" s="46">
      <c r="A97" s="2" t="n"/>
      <c r="B97" s="2" t="n"/>
      <c r="C97" s="2" t="n"/>
      <c r="D97" s="2" t="n"/>
      <c r="E97" s="2" t="n"/>
      <c r="F97" s="2" t="n"/>
      <c r="G97" s="2" t="n"/>
      <c r="H97" s="2" t="n"/>
      <c r="I97" s="2" t="n"/>
      <c r="J97" s="2" t="n"/>
    </row>
    <row r="98" ht="14.25" customHeight="1" s="46">
      <c r="A98" s="2" t="n"/>
      <c r="B98" s="2" t="n"/>
      <c r="C98" s="2" t="n"/>
      <c r="D98" s="2" t="n"/>
      <c r="E98" s="2" t="n"/>
      <c r="F98" s="2" t="n"/>
      <c r="G98" s="2" t="n"/>
      <c r="H98" s="2" t="n"/>
      <c r="I98" s="2" t="n"/>
      <c r="J98" s="2" t="n"/>
    </row>
    <row r="99" ht="14.25" customHeight="1" s="46">
      <c r="A99" s="2" t="n"/>
      <c r="B99" s="2" t="n"/>
      <c r="C99" s="2" t="n"/>
      <c r="D99" s="2" t="n"/>
      <c r="E99" s="2" t="n"/>
      <c r="F99" s="2" t="n"/>
      <c r="G99" s="2" t="n"/>
      <c r="H99" s="2" t="n"/>
      <c r="I99" s="2" t="n"/>
      <c r="J99" s="2" t="n"/>
    </row>
    <row r="100" ht="14.25" customHeight="1" s="46">
      <c r="A100" s="2" t="n"/>
      <c r="B100" s="2" t="n"/>
      <c r="C100" s="2" t="n"/>
      <c r="D100" s="2" t="n"/>
      <c r="E100" s="2" t="n"/>
      <c r="F100" s="2" t="n"/>
      <c r="G100" s="2" t="n"/>
      <c r="H100" s="2" t="n"/>
      <c r="I100" s="2" t="n"/>
      <c r="J100" s="2" t="n"/>
    </row>
    <row r="101" ht="14.25" customHeight="1" s="46">
      <c r="A101" s="2" t="n"/>
      <c r="B101" s="2" t="n"/>
      <c r="C101" s="2" t="n"/>
      <c r="D101" s="2" t="n"/>
      <c r="E101" s="2" t="n"/>
      <c r="F101" s="2" t="n"/>
      <c r="G101" s="2" t="n"/>
      <c r="H101" s="2" t="n"/>
      <c r="I101" s="2" t="n"/>
      <c r="J101" s="2" t="n"/>
    </row>
    <row r="102" ht="14.25" customHeight="1" s="46">
      <c r="A102" s="2" t="n"/>
      <c r="B102" s="2" t="n"/>
      <c r="C102" s="2" t="n"/>
      <c r="D102" s="2" t="n"/>
      <c r="E102" s="2" t="n"/>
      <c r="F102" s="2" t="n"/>
      <c r="G102" s="2" t="n"/>
      <c r="H102" s="2" t="n"/>
      <c r="I102" s="2" t="n"/>
      <c r="J102" s="2" t="n"/>
    </row>
    <row r="103" ht="14.25" customHeight="1" s="46">
      <c r="A103" s="2" t="n"/>
      <c r="B103" s="2" t="n"/>
      <c r="C103" s="2" t="n"/>
      <c r="D103" s="2" t="n"/>
      <c r="E103" s="2" t="n"/>
      <c r="F103" s="2" t="n"/>
      <c r="G103" s="2" t="n"/>
      <c r="H103" s="2" t="n"/>
      <c r="I103" s="2" t="n"/>
      <c r="J103" s="2" t="n"/>
    </row>
    <row r="104" ht="14.25" customHeight="1" s="46">
      <c r="A104" s="2" t="n"/>
      <c r="B104" s="2" t="n"/>
      <c r="C104" s="2" t="n"/>
      <c r="D104" s="2" t="n"/>
      <c r="E104" s="2" t="n"/>
      <c r="F104" s="2" t="n"/>
      <c r="G104" s="2" t="n"/>
      <c r="H104" s="2" t="n"/>
      <c r="I104" s="2" t="n"/>
      <c r="J104" s="2" t="n"/>
    </row>
    <row r="105" ht="14.25" customHeight="1" s="46">
      <c r="A105" s="2" t="n"/>
      <c r="B105" s="2" t="n"/>
      <c r="C105" s="2" t="n"/>
      <c r="D105" s="2" t="n"/>
      <c r="E105" s="2" t="n"/>
      <c r="F105" s="2" t="n"/>
      <c r="G105" s="2" t="n"/>
      <c r="H105" s="2" t="n"/>
      <c r="I105" s="2" t="n"/>
      <c r="J105" s="2" t="n"/>
    </row>
    <row r="106" ht="14.25" customHeight="1" s="46">
      <c r="A106" s="2" t="n"/>
      <c r="B106" s="2" t="n"/>
      <c r="C106" s="2" t="n"/>
      <c r="D106" s="2" t="n"/>
      <c r="E106" s="2" t="n"/>
      <c r="F106" s="2" t="n"/>
      <c r="G106" s="2" t="n"/>
      <c r="H106" s="2" t="n"/>
      <c r="I106" s="2" t="n"/>
      <c r="J106" s="2" t="n"/>
    </row>
    <row r="107" ht="14.25" customHeight="1" s="46">
      <c r="A107" s="2" t="n"/>
      <c r="B107" s="2" t="n"/>
      <c r="C107" s="2" t="n"/>
      <c r="D107" s="2" t="n"/>
      <c r="E107" s="2" t="n"/>
      <c r="F107" s="2" t="n"/>
      <c r="G107" s="2" t="n"/>
      <c r="H107" s="2" t="n"/>
      <c r="I107" s="2" t="n"/>
      <c r="J107" s="2" t="n"/>
    </row>
    <row r="108" ht="14.25" customHeight="1" s="46">
      <c r="A108" s="2" t="n"/>
      <c r="B108" s="2" t="n"/>
      <c r="C108" s="2" t="n"/>
      <c r="D108" s="2" t="n"/>
      <c r="E108" s="2" t="n"/>
      <c r="F108" s="2" t="n"/>
      <c r="G108" s="2" t="n"/>
      <c r="H108" s="2" t="n"/>
      <c r="I108" s="2" t="n"/>
      <c r="J108" s="2" t="n"/>
    </row>
    <row r="109" ht="14.25" customHeight="1" s="46">
      <c r="A109" s="2" t="n"/>
      <c r="B109" s="2" t="n"/>
      <c r="C109" s="2" t="n"/>
      <c r="D109" s="2" t="n"/>
      <c r="E109" s="2" t="n"/>
      <c r="F109" s="2" t="n"/>
      <c r="G109" s="2" t="n"/>
      <c r="H109" s="2" t="n"/>
      <c r="I109" s="2" t="n"/>
      <c r="J109" s="2" t="n"/>
    </row>
    <row r="110" ht="14.25" customHeight="1" s="46">
      <c r="A110" s="2" t="n"/>
      <c r="B110" s="2" t="n"/>
      <c r="C110" s="2" t="n"/>
      <c r="D110" s="2" t="n"/>
      <c r="E110" s="2" t="n"/>
      <c r="F110" s="2" t="n"/>
      <c r="G110" s="2" t="n"/>
      <c r="H110" s="2" t="n"/>
      <c r="I110" s="2" t="n"/>
      <c r="J110" s="2" t="n"/>
    </row>
    <row r="111" ht="14.25" customHeight="1" s="46">
      <c r="A111" s="2" t="n"/>
      <c r="B111" s="2" t="n"/>
      <c r="C111" s="2" t="n"/>
      <c r="D111" s="2" t="n"/>
      <c r="E111" s="2" t="n"/>
      <c r="F111" s="2" t="n"/>
      <c r="G111" s="2" t="n"/>
      <c r="H111" s="2" t="n"/>
      <c r="I111" s="2" t="n"/>
      <c r="J111" s="2" t="n"/>
    </row>
    <row r="112" ht="14.25" customHeight="1" s="46">
      <c r="A112" s="2" t="n"/>
      <c r="B112" s="2" t="n"/>
      <c r="C112" s="2" t="n"/>
      <c r="D112" s="2" t="n"/>
      <c r="E112" s="2" t="n"/>
      <c r="F112" s="2" t="n"/>
      <c r="G112" s="2" t="n"/>
      <c r="H112" s="2" t="n"/>
      <c r="I112" s="2" t="n"/>
      <c r="J112" s="2" t="n"/>
    </row>
    <row r="113" ht="14.25" customHeight="1" s="46">
      <c r="A113" s="2" t="n"/>
      <c r="B113" s="2" t="n"/>
      <c r="C113" s="2" t="n"/>
      <c r="D113" s="2" t="n"/>
      <c r="E113" s="2" t="n"/>
      <c r="F113" s="2" t="n"/>
      <c r="G113" s="2" t="n"/>
      <c r="H113" s="2" t="n"/>
      <c r="I113" s="2" t="n"/>
      <c r="J113" s="2" t="n"/>
    </row>
    <row r="114" ht="14.25" customHeight="1" s="46">
      <c r="A114" s="2" t="n"/>
      <c r="B114" s="2" t="n"/>
      <c r="C114" s="2" t="n"/>
      <c r="D114" s="2" t="n"/>
      <c r="E114" s="2" t="n"/>
      <c r="F114" s="2" t="n"/>
      <c r="G114" s="2" t="n"/>
      <c r="H114" s="2" t="n"/>
      <c r="I114" s="2" t="n"/>
      <c r="J114" s="2" t="n"/>
    </row>
    <row r="115" ht="14.25" customHeight="1" s="46">
      <c r="A115" s="2" t="n"/>
      <c r="B115" s="2" t="n"/>
      <c r="C115" s="2" t="n"/>
      <c r="D115" s="2" t="n"/>
      <c r="E115" s="2" t="n"/>
      <c r="F115" s="2" t="n"/>
      <c r="G115" s="2" t="n"/>
      <c r="H115" s="2" t="n"/>
      <c r="I115" s="2" t="n"/>
      <c r="J115" s="2" t="n"/>
    </row>
    <row r="116" ht="14.25" customHeight="1" s="46">
      <c r="A116" s="2" t="n"/>
      <c r="B116" s="2" t="n"/>
      <c r="C116" s="2" t="n"/>
      <c r="D116" s="2" t="n"/>
      <c r="E116" s="2" t="n"/>
      <c r="F116" s="2" t="n"/>
      <c r="G116" s="2" t="n"/>
      <c r="H116" s="2" t="n"/>
      <c r="I116" s="2" t="n"/>
      <c r="J116" s="2" t="n"/>
    </row>
    <row r="117" ht="14.25" customHeight="1" s="46">
      <c r="A117" s="2" t="n"/>
      <c r="B117" s="2" t="n"/>
      <c r="C117" s="2" t="n"/>
      <c r="D117" s="2" t="n"/>
      <c r="E117" s="2" t="n"/>
      <c r="F117" s="2" t="n"/>
      <c r="G117" s="2" t="n"/>
      <c r="H117" s="2" t="n"/>
      <c r="I117" s="2" t="n"/>
      <c r="J117" s="2" t="n"/>
    </row>
    <row r="118" ht="14.25" customHeight="1" s="46">
      <c r="A118" s="2" t="n"/>
      <c r="B118" s="2" t="n"/>
      <c r="C118" s="2" t="n"/>
      <c r="D118" s="2" t="n"/>
      <c r="E118" s="2" t="n"/>
      <c r="F118" s="2" t="n"/>
      <c r="G118" s="2" t="n"/>
      <c r="H118" s="2" t="n"/>
      <c r="I118" s="2" t="n"/>
      <c r="J118" s="2" t="n"/>
    </row>
    <row r="119" ht="14.25" customHeight="1" s="46">
      <c r="A119" s="2" t="n"/>
      <c r="B119" s="2" t="n"/>
      <c r="C119" s="2" t="n"/>
      <c r="D119" s="2" t="n"/>
      <c r="E119" s="2" t="n"/>
      <c r="F119" s="2" t="n"/>
      <c r="G119" s="2" t="n"/>
      <c r="H119" s="2" t="n"/>
      <c r="I119" s="2" t="n"/>
      <c r="J119" s="2" t="n"/>
    </row>
    <row r="120" ht="14.25" customHeight="1" s="46">
      <c r="A120" s="2" t="n"/>
      <c r="B120" s="2" t="n"/>
      <c r="C120" s="2" t="n"/>
      <c r="D120" s="2" t="n"/>
      <c r="E120" s="2" t="n"/>
      <c r="F120" s="2" t="n"/>
      <c r="G120" s="2" t="n"/>
      <c r="H120" s="2" t="n"/>
      <c r="I120" s="2" t="n"/>
      <c r="J120" s="2" t="n"/>
    </row>
    <row r="121" ht="14.25" customHeight="1" s="46">
      <c r="A121" s="2" t="n"/>
      <c r="B121" s="2" t="n"/>
      <c r="C121" s="2" t="n"/>
      <c r="D121" s="2" t="n"/>
      <c r="E121" s="2" t="n"/>
      <c r="F121" s="2" t="n"/>
      <c r="G121" s="2" t="n"/>
      <c r="H121" s="2" t="n"/>
      <c r="I121" s="2" t="n"/>
      <c r="J121" s="2" t="n"/>
    </row>
    <row r="122" ht="14.25" customHeight="1" s="46">
      <c r="A122" s="2" t="n"/>
      <c r="B122" s="2" t="n"/>
      <c r="C122" s="2" t="n"/>
      <c r="D122" s="2" t="n"/>
      <c r="E122" s="2" t="n"/>
      <c r="F122" s="2" t="n"/>
      <c r="G122" s="2" t="n"/>
      <c r="H122" s="2" t="n"/>
      <c r="I122" s="2" t="n"/>
      <c r="J122" s="2" t="n"/>
    </row>
    <row r="123" ht="14.25" customHeight="1" s="46">
      <c r="A123" s="2" t="n"/>
      <c r="B123" s="2" t="n"/>
      <c r="C123" s="2" t="n"/>
      <c r="D123" s="2" t="n"/>
      <c r="E123" s="2" t="n"/>
      <c r="F123" s="2" t="n"/>
      <c r="G123" s="2" t="n"/>
      <c r="H123" s="2" t="n"/>
      <c r="I123" s="2" t="n"/>
      <c r="J123" s="2" t="n"/>
    </row>
    <row r="124" ht="14.25" customHeight="1" s="46">
      <c r="A124" s="2" t="n"/>
      <c r="B124" s="2" t="n"/>
      <c r="C124" s="2" t="n"/>
      <c r="D124" s="2" t="n"/>
      <c r="E124" s="2" t="n"/>
      <c r="F124" s="2" t="n"/>
      <c r="G124" s="2" t="n"/>
      <c r="H124" s="2" t="n"/>
      <c r="I124" s="2" t="n"/>
      <c r="J124" s="2" t="n"/>
    </row>
    <row r="125" ht="14.25" customHeight="1" s="46">
      <c r="A125" s="2" t="n"/>
      <c r="B125" s="2" t="n"/>
      <c r="C125" s="2" t="n"/>
      <c r="D125" s="2" t="n"/>
      <c r="E125" s="2" t="n"/>
      <c r="F125" s="2" t="n"/>
      <c r="G125" s="2" t="n"/>
      <c r="H125" s="2" t="n"/>
      <c r="I125" s="2" t="n"/>
      <c r="J125" s="2" t="n"/>
    </row>
    <row r="126" ht="14.25" customHeight="1" s="46">
      <c r="A126" s="2" t="n"/>
      <c r="B126" s="2" t="n"/>
      <c r="C126" s="2" t="n"/>
      <c r="D126" s="2" t="n"/>
      <c r="E126" s="2" t="n"/>
      <c r="F126" s="2" t="n"/>
      <c r="G126" s="2" t="n"/>
      <c r="H126" s="2" t="n"/>
      <c r="I126" s="2" t="n"/>
      <c r="J126" s="2" t="n"/>
    </row>
    <row r="127" ht="14.25" customHeight="1" s="46">
      <c r="A127" s="2" t="n"/>
      <c r="B127" s="2" t="n"/>
      <c r="C127" s="2" t="n"/>
      <c r="D127" s="2" t="n"/>
      <c r="E127" s="2" t="n"/>
      <c r="F127" s="2" t="n"/>
      <c r="G127" s="2" t="n"/>
      <c r="H127" s="2" t="n"/>
      <c r="I127" s="2" t="n"/>
      <c r="J127" s="2" t="n"/>
    </row>
    <row r="128" ht="14.25" customHeight="1" s="46">
      <c r="A128" s="2" t="n"/>
      <c r="B128" s="2" t="n"/>
      <c r="C128" s="2" t="n"/>
      <c r="D128" s="2" t="n"/>
      <c r="E128" s="2" t="n"/>
      <c r="F128" s="2" t="n"/>
      <c r="G128" s="2" t="n"/>
      <c r="H128" s="2" t="n"/>
      <c r="I128" s="2" t="n"/>
      <c r="J128" s="2" t="n"/>
    </row>
    <row r="129" ht="14.25" customHeight="1" s="46">
      <c r="A129" s="2" t="n"/>
      <c r="B129" s="2" t="n"/>
      <c r="C129" s="2" t="n"/>
      <c r="D129" s="2" t="n"/>
      <c r="E129" s="2" t="n"/>
      <c r="F129" s="2" t="n"/>
      <c r="G129" s="2" t="n"/>
      <c r="H129" s="2" t="n"/>
      <c r="I129" s="2" t="n"/>
      <c r="J129" s="2" t="n"/>
    </row>
    <row r="130" ht="14.25" customHeight="1" s="46">
      <c r="A130" s="2" t="n"/>
      <c r="B130" s="2" t="n"/>
      <c r="C130" s="2" t="n"/>
      <c r="D130" s="2" t="n"/>
      <c r="E130" s="2" t="n"/>
      <c r="F130" s="2" t="n"/>
      <c r="G130" s="2" t="n"/>
      <c r="H130" s="2" t="n"/>
      <c r="I130" s="2" t="n"/>
      <c r="J130" s="2" t="n"/>
    </row>
    <row r="131" ht="14.25" customHeight="1" s="46">
      <c r="A131" s="2" t="n"/>
      <c r="B131" s="2" t="n"/>
      <c r="C131" s="2" t="n"/>
      <c r="D131" s="2" t="n"/>
      <c r="E131" s="2" t="n"/>
      <c r="F131" s="2" t="n"/>
      <c r="G131" s="2" t="n"/>
      <c r="H131" s="2" t="n"/>
      <c r="I131" s="2" t="n"/>
      <c r="J131" s="2" t="n"/>
    </row>
    <row r="132" ht="14.25" customHeight="1" s="46">
      <c r="A132" s="2" t="n"/>
      <c r="B132" s="2" t="n"/>
      <c r="C132" s="2" t="n"/>
      <c r="D132" s="2" t="n"/>
      <c r="E132" s="2" t="n"/>
      <c r="F132" s="2" t="n"/>
      <c r="G132" s="2" t="n"/>
      <c r="H132" s="2" t="n"/>
      <c r="I132" s="2" t="n"/>
      <c r="J132" s="2" t="n"/>
    </row>
    <row r="133" ht="14.25" customHeight="1" s="46">
      <c r="A133" s="2" t="n"/>
      <c r="B133" s="2" t="n"/>
      <c r="C133" s="2" t="n"/>
      <c r="D133" s="2" t="n"/>
      <c r="E133" s="2" t="n"/>
      <c r="F133" s="2" t="n"/>
      <c r="G133" s="2" t="n"/>
      <c r="H133" s="2" t="n"/>
      <c r="I133" s="2" t="n"/>
      <c r="J133" s="2" t="n"/>
    </row>
    <row r="134" ht="14.25" customHeight="1" s="46">
      <c r="A134" s="2" t="n"/>
      <c r="B134" s="2" t="n"/>
      <c r="C134" s="2" t="n"/>
      <c r="D134" s="2" t="n"/>
      <c r="E134" s="2" t="n"/>
      <c r="F134" s="2" t="n"/>
      <c r="G134" s="2" t="n"/>
      <c r="H134" s="2" t="n"/>
      <c r="I134" s="2" t="n"/>
      <c r="J134" s="2" t="n"/>
    </row>
    <row r="135" ht="14.25" customHeight="1" s="46">
      <c r="A135" s="2" t="n"/>
      <c r="B135" s="2" t="n"/>
      <c r="C135" s="2" t="n"/>
      <c r="D135" s="2" t="n"/>
      <c r="E135" s="2" t="n"/>
      <c r="F135" s="2" t="n"/>
      <c r="G135" s="2" t="n"/>
      <c r="H135" s="2" t="n"/>
      <c r="I135" s="2" t="n"/>
      <c r="J135" s="2" t="n"/>
    </row>
    <row r="136" ht="14.25" customHeight="1" s="46">
      <c r="A136" s="2" t="n"/>
      <c r="B136" s="2" t="n"/>
      <c r="C136" s="2" t="n"/>
      <c r="D136" s="2" t="n"/>
      <c r="E136" s="2" t="n"/>
      <c r="F136" s="2" t="n"/>
      <c r="G136" s="2" t="n"/>
      <c r="H136" s="2" t="n"/>
      <c r="I136" s="2" t="n"/>
      <c r="J136" s="2" t="n"/>
    </row>
    <row r="137" ht="14.25" customHeight="1" s="46">
      <c r="A137" s="2" t="n"/>
      <c r="B137" s="2" t="n"/>
      <c r="C137" s="2" t="n"/>
      <c r="D137" s="2" t="n"/>
      <c r="E137" s="2" t="n"/>
      <c r="F137" s="2" t="n"/>
      <c r="G137" s="2" t="n"/>
      <c r="H137" s="2" t="n"/>
      <c r="I137" s="2" t="n"/>
      <c r="J137" s="2" t="n"/>
    </row>
    <row r="138" ht="14.25" customHeight="1" s="46">
      <c r="A138" s="2" t="n"/>
      <c r="B138" s="2" t="n"/>
      <c r="C138" s="2" t="n"/>
      <c r="D138" s="2" t="n"/>
      <c r="E138" s="2" t="n"/>
      <c r="F138" s="2" t="n"/>
      <c r="G138" s="2" t="n"/>
      <c r="H138" s="2" t="n"/>
      <c r="I138" s="2" t="n"/>
      <c r="J138" s="2" t="n"/>
    </row>
    <row r="139" ht="14.25" customHeight="1" s="46">
      <c r="A139" s="2" t="n"/>
      <c r="B139" s="2" t="n"/>
      <c r="C139" s="2" t="n"/>
      <c r="D139" s="2" t="n"/>
      <c r="E139" s="2" t="n"/>
      <c r="F139" s="2" t="n"/>
      <c r="G139" s="2" t="n"/>
      <c r="H139" s="2" t="n"/>
      <c r="I139" s="2" t="n"/>
      <c r="J139" s="2" t="n"/>
    </row>
    <row r="140" ht="14.25" customHeight="1" s="46">
      <c r="A140" s="2" t="n"/>
      <c r="B140" s="2" t="n"/>
      <c r="C140" s="2" t="n"/>
      <c r="D140" s="2" t="n"/>
      <c r="E140" s="2" t="n"/>
      <c r="F140" s="2" t="n"/>
      <c r="G140" s="2" t="n"/>
      <c r="H140" s="2" t="n"/>
      <c r="I140" s="2" t="n"/>
      <c r="J140" s="2" t="n"/>
    </row>
    <row r="141" ht="14.25" customHeight="1" s="46">
      <c r="A141" s="2" t="n"/>
      <c r="B141" s="2" t="n"/>
      <c r="C141" s="2" t="n"/>
      <c r="D141" s="2" t="n"/>
      <c r="E141" s="2" t="n"/>
      <c r="F141" s="2" t="n"/>
      <c r="G141" s="2" t="n"/>
      <c r="H141" s="2" t="n"/>
      <c r="I141" s="2" t="n"/>
      <c r="J141" s="2" t="n"/>
    </row>
    <row r="142" ht="14.25" customHeight="1" s="46">
      <c r="A142" s="2" t="n"/>
      <c r="B142" s="2" t="n"/>
      <c r="C142" s="2" t="n"/>
      <c r="D142" s="2" t="n"/>
      <c r="E142" s="2" t="n"/>
      <c r="F142" s="2" t="n"/>
      <c r="G142" s="2" t="n"/>
      <c r="H142" s="2" t="n"/>
      <c r="I142" s="2" t="n"/>
      <c r="J142" s="2" t="n"/>
    </row>
    <row r="143" ht="14.25" customHeight="1" s="46">
      <c r="A143" s="2" t="n"/>
      <c r="B143" s="2" t="n"/>
      <c r="C143" s="2" t="n"/>
      <c r="D143" s="2" t="n"/>
      <c r="E143" s="2" t="n"/>
      <c r="F143" s="2" t="n"/>
      <c r="G143" s="2" t="n"/>
      <c r="H143" s="2" t="n"/>
      <c r="I143" s="2" t="n"/>
      <c r="J143" s="2" t="n"/>
    </row>
    <row r="144" ht="14.25" customHeight="1" s="46">
      <c r="A144" s="2" t="n"/>
      <c r="B144" s="2" t="n"/>
      <c r="C144" s="2" t="n"/>
      <c r="D144" s="2" t="n"/>
      <c r="E144" s="2" t="n"/>
      <c r="F144" s="2" t="n"/>
      <c r="G144" s="2" t="n"/>
      <c r="H144" s="2" t="n"/>
      <c r="I144" s="2" t="n"/>
      <c r="J144" s="2" t="n"/>
    </row>
    <row r="145" ht="14.25" customHeight="1" s="46">
      <c r="A145" s="2" t="n"/>
      <c r="B145" s="2" t="n"/>
      <c r="C145" s="2" t="n"/>
      <c r="D145" s="2" t="n"/>
      <c r="E145" s="2" t="n"/>
      <c r="F145" s="2" t="n"/>
      <c r="G145" s="2" t="n"/>
      <c r="H145" s="2" t="n"/>
      <c r="I145" s="2" t="n"/>
      <c r="J145" s="2" t="n"/>
    </row>
    <row r="146" ht="14.25" customHeight="1" s="46">
      <c r="A146" s="2" t="n"/>
      <c r="B146" s="2" t="n"/>
      <c r="C146" s="2" t="n"/>
      <c r="D146" s="2" t="n"/>
      <c r="E146" s="2" t="n"/>
      <c r="F146" s="2" t="n"/>
      <c r="G146" s="2" t="n"/>
      <c r="H146" s="2" t="n"/>
      <c r="I146" s="2" t="n"/>
      <c r="J146" s="2" t="n"/>
    </row>
    <row r="147" ht="14.25" customHeight="1" s="46">
      <c r="A147" s="2" t="n"/>
      <c r="B147" s="2" t="n"/>
      <c r="C147" s="2" t="n"/>
      <c r="D147" s="2" t="n"/>
      <c r="E147" s="2" t="n"/>
      <c r="F147" s="2" t="n"/>
      <c r="G147" s="2" t="n"/>
      <c r="H147" s="2" t="n"/>
      <c r="I147" s="2" t="n"/>
      <c r="J147" s="2" t="n"/>
    </row>
    <row r="148" ht="14.25" customHeight="1" s="46">
      <c r="A148" s="2" t="n"/>
      <c r="B148" s="2" t="n"/>
      <c r="C148" s="2" t="n"/>
      <c r="D148" s="2" t="n"/>
      <c r="E148" s="2" t="n"/>
      <c r="F148" s="2" t="n"/>
      <c r="G148" s="2" t="n"/>
      <c r="H148" s="2" t="n"/>
      <c r="I148" s="2" t="n"/>
      <c r="J148" s="2" t="n"/>
    </row>
    <row r="149" ht="14.25" customHeight="1" s="46">
      <c r="A149" s="2" t="n"/>
      <c r="B149" s="2" t="n"/>
      <c r="C149" s="2" t="n"/>
      <c r="D149" s="2" t="n"/>
      <c r="E149" s="2" t="n"/>
      <c r="F149" s="2" t="n"/>
      <c r="G149" s="2" t="n"/>
      <c r="H149" s="2" t="n"/>
      <c r="I149" s="2" t="n"/>
      <c r="J149" s="2" t="n"/>
    </row>
    <row r="150" ht="14.25" customHeight="1" s="46">
      <c r="A150" s="2" t="n"/>
      <c r="B150" s="2" t="n"/>
      <c r="C150" s="2" t="n"/>
      <c r="D150" s="2" t="n"/>
      <c r="E150" s="2" t="n"/>
      <c r="F150" s="2" t="n"/>
      <c r="G150" s="2" t="n"/>
      <c r="H150" s="2" t="n"/>
      <c r="I150" s="2" t="n"/>
      <c r="J150" s="2" t="n"/>
    </row>
    <row r="151" ht="14.25" customHeight="1" s="46">
      <c r="A151" s="2" t="n"/>
      <c r="B151" s="2" t="n"/>
      <c r="C151" s="2" t="n"/>
      <c r="D151" s="2" t="n"/>
      <c r="E151" s="2" t="n"/>
      <c r="F151" s="2" t="n"/>
      <c r="G151" s="2" t="n"/>
      <c r="H151" s="2" t="n"/>
      <c r="I151" s="2" t="n"/>
      <c r="J151" s="2" t="n"/>
    </row>
    <row r="152" ht="14.25" customHeight="1" s="46">
      <c r="A152" s="2" t="n"/>
      <c r="B152" s="2" t="n"/>
      <c r="C152" s="2" t="n"/>
      <c r="D152" s="2" t="n"/>
      <c r="E152" s="2" t="n"/>
      <c r="F152" s="2" t="n"/>
      <c r="G152" s="2" t="n"/>
      <c r="H152" s="2" t="n"/>
      <c r="I152" s="2" t="n"/>
      <c r="J152" s="2" t="n"/>
    </row>
    <row r="153" ht="14.25" customHeight="1" s="46">
      <c r="A153" s="2" t="n"/>
      <c r="B153" s="2" t="n"/>
      <c r="C153" s="2" t="n"/>
      <c r="D153" s="2" t="n"/>
      <c r="E153" s="2" t="n"/>
      <c r="F153" s="2" t="n"/>
      <c r="G153" s="2" t="n"/>
      <c r="H153" s="2" t="n"/>
      <c r="I153" s="2" t="n"/>
      <c r="J153" s="2" t="n"/>
    </row>
    <row r="154" ht="14.25" customHeight="1" s="46">
      <c r="A154" s="2" t="n"/>
      <c r="B154" s="2" t="n"/>
      <c r="C154" s="2" t="n"/>
      <c r="D154" s="2" t="n"/>
      <c r="E154" s="2" t="n"/>
      <c r="F154" s="2" t="n"/>
      <c r="G154" s="2" t="n"/>
      <c r="H154" s="2" t="n"/>
      <c r="I154" s="2" t="n"/>
      <c r="J154" s="2" t="n"/>
    </row>
    <row r="155" ht="14.25" customHeight="1" s="46">
      <c r="A155" s="2" t="n"/>
      <c r="B155" s="2" t="n"/>
      <c r="C155" s="2" t="n"/>
      <c r="D155" s="2" t="n"/>
      <c r="E155" s="2" t="n"/>
      <c r="F155" s="2" t="n"/>
      <c r="G155" s="2" t="n"/>
      <c r="H155" s="2" t="n"/>
      <c r="I155" s="2" t="n"/>
      <c r="J155" s="2" t="n"/>
    </row>
    <row r="156" ht="14.25" customHeight="1" s="46">
      <c r="A156" s="2" t="n"/>
      <c r="B156" s="2" t="n"/>
      <c r="C156" s="2" t="n"/>
      <c r="D156" s="2" t="n"/>
      <c r="E156" s="2" t="n"/>
      <c r="F156" s="2" t="n"/>
      <c r="G156" s="2" t="n"/>
      <c r="H156" s="2" t="n"/>
      <c r="I156" s="2" t="n"/>
      <c r="J156" s="2" t="n"/>
    </row>
    <row r="157" ht="14.25" customHeight="1" s="46">
      <c r="A157" s="2" t="n"/>
      <c r="B157" s="2" t="n"/>
      <c r="C157" s="2" t="n"/>
      <c r="D157" s="2" t="n"/>
      <c r="E157" s="2" t="n"/>
      <c r="F157" s="2" t="n"/>
      <c r="G157" s="2" t="n"/>
      <c r="H157" s="2" t="n"/>
      <c r="I157" s="2" t="n"/>
      <c r="J157" s="2" t="n"/>
    </row>
    <row r="158" ht="14.25" customHeight="1" s="46">
      <c r="A158" s="2" t="n"/>
      <c r="B158" s="2" t="n"/>
      <c r="C158" s="2" t="n"/>
      <c r="D158" s="2" t="n"/>
      <c r="E158" s="2" t="n"/>
      <c r="F158" s="2" t="n"/>
      <c r="G158" s="2" t="n"/>
      <c r="H158" s="2" t="n"/>
      <c r="I158" s="2" t="n"/>
      <c r="J158" s="2" t="n"/>
    </row>
    <row r="159" ht="14.25" customHeight="1" s="46">
      <c r="A159" s="2" t="n"/>
      <c r="B159" s="2" t="n"/>
      <c r="C159" s="2" t="n"/>
      <c r="D159" s="2" t="n"/>
      <c r="E159" s="2" t="n"/>
      <c r="F159" s="2" t="n"/>
      <c r="G159" s="2" t="n"/>
      <c r="H159" s="2" t="n"/>
      <c r="I159" s="2" t="n"/>
      <c r="J159" s="2" t="n"/>
    </row>
    <row r="160" ht="14.25" customHeight="1" s="46">
      <c r="A160" s="2" t="n"/>
      <c r="B160" s="2" t="n"/>
      <c r="C160" s="2" t="n"/>
      <c r="D160" s="2" t="n"/>
      <c r="E160" s="2" t="n"/>
      <c r="F160" s="2" t="n"/>
      <c r="G160" s="2" t="n"/>
      <c r="H160" s="2" t="n"/>
      <c r="I160" s="2" t="n"/>
      <c r="J160" s="2" t="n"/>
    </row>
    <row r="161" ht="14.25" customHeight="1" s="46">
      <c r="A161" s="2" t="n"/>
      <c r="B161" s="2" t="n"/>
      <c r="C161" s="2" t="n"/>
      <c r="D161" s="2" t="n"/>
      <c r="E161" s="2" t="n"/>
      <c r="F161" s="2" t="n"/>
      <c r="G161" s="2" t="n"/>
      <c r="H161" s="2" t="n"/>
      <c r="I161" s="2" t="n"/>
      <c r="J161" s="2" t="n"/>
    </row>
    <row r="162" ht="14.25" customHeight="1" s="46">
      <c r="A162" s="2" t="n"/>
      <c r="B162" s="2" t="n"/>
      <c r="C162" s="2" t="n"/>
      <c r="D162" s="2" t="n"/>
      <c r="E162" s="2" t="n"/>
      <c r="F162" s="2" t="n"/>
      <c r="G162" s="2" t="n"/>
      <c r="H162" s="2" t="n"/>
      <c r="I162" s="2" t="n"/>
      <c r="J162" s="2" t="n"/>
    </row>
    <row r="163" ht="14.25" customHeight="1" s="46">
      <c r="A163" s="2" t="n"/>
      <c r="B163" s="2" t="n"/>
      <c r="C163" s="2" t="n"/>
      <c r="D163" s="2" t="n"/>
      <c r="E163" s="2" t="n"/>
      <c r="F163" s="2" t="n"/>
      <c r="G163" s="2" t="n"/>
      <c r="H163" s="2" t="n"/>
      <c r="I163" s="2" t="n"/>
      <c r="J163" s="2" t="n"/>
    </row>
    <row r="164" ht="14.25" customHeight="1" s="46">
      <c r="A164" s="2" t="n"/>
      <c r="B164" s="2" t="n"/>
      <c r="C164" s="2" t="n"/>
      <c r="D164" s="2" t="n"/>
      <c r="E164" s="2" t="n"/>
      <c r="F164" s="2" t="n"/>
      <c r="G164" s="2" t="n"/>
      <c r="H164" s="2" t="n"/>
      <c r="I164" s="2" t="n"/>
      <c r="J164" s="2" t="n"/>
    </row>
    <row r="165" ht="14.25" customHeight="1" s="46">
      <c r="A165" s="2" t="n"/>
      <c r="B165" s="2" t="n"/>
      <c r="C165" s="2" t="n"/>
      <c r="D165" s="2" t="n"/>
      <c r="E165" s="2" t="n"/>
      <c r="F165" s="2" t="n"/>
      <c r="G165" s="2" t="n"/>
      <c r="H165" s="2" t="n"/>
      <c r="I165" s="2" t="n"/>
      <c r="J165" s="2" t="n"/>
    </row>
    <row r="166" ht="14.25" customHeight="1" s="46">
      <c r="A166" s="2" t="n"/>
      <c r="B166" s="2" t="n"/>
      <c r="C166" s="2" t="n"/>
      <c r="D166" s="2" t="n"/>
      <c r="E166" s="2" t="n"/>
      <c r="F166" s="2" t="n"/>
      <c r="G166" s="2" t="n"/>
      <c r="H166" s="2" t="n"/>
      <c r="I166" s="2" t="n"/>
      <c r="J166" s="2" t="n"/>
    </row>
    <row r="167" ht="14.25" customHeight="1" s="46">
      <c r="A167" s="2" t="n"/>
      <c r="B167" s="2" t="n"/>
      <c r="C167" s="2" t="n"/>
      <c r="D167" s="2" t="n"/>
      <c r="E167" s="2" t="n"/>
      <c r="F167" s="2" t="n"/>
      <c r="G167" s="2" t="n"/>
      <c r="H167" s="2" t="n"/>
      <c r="I167" s="2" t="n"/>
      <c r="J167" s="2" t="n"/>
    </row>
    <row r="168" ht="14.25" customHeight="1" s="46">
      <c r="A168" s="2" t="n"/>
      <c r="B168" s="2" t="n"/>
      <c r="C168" s="2" t="n"/>
      <c r="D168" s="2" t="n"/>
      <c r="E168" s="2" t="n"/>
      <c r="F168" s="2" t="n"/>
      <c r="G168" s="2" t="n"/>
      <c r="H168" s="2" t="n"/>
      <c r="I168" s="2" t="n"/>
      <c r="J168" s="2" t="n"/>
    </row>
    <row r="169" ht="14.25" customHeight="1" s="46">
      <c r="A169" s="2" t="n"/>
      <c r="B169" s="2" t="n"/>
      <c r="C169" s="2" t="n"/>
      <c r="D169" s="2" t="n"/>
      <c r="E169" s="2" t="n"/>
      <c r="F169" s="2" t="n"/>
      <c r="G169" s="2" t="n"/>
      <c r="H169" s="2" t="n"/>
      <c r="I169" s="2" t="n"/>
      <c r="J169" s="2" t="n"/>
    </row>
    <row r="170" ht="14.25" customHeight="1" s="46">
      <c r="A170" s="2" t="n"/>
      <c r="B170" s="2" t="n"/>
      <c r="C170" s="2" t="n"/>
      <c r="D170" s="2" t="n"/>
      <c r="E170" s="2" t="n"/>
      <c r="F170" s="2" t="n"/>
      <c r="G170" s="2" t="n"/>
      <c r="H170" s="2" t="n"/>
      <c r="I170" s="2" t="n"/>
      <c r="J170" s="2" t="n"/>
    </row>
    <row r="171" ht="14.25" customHeight="1" s="46">
      <c r="A171" s="2" t="n"/>
      <c r="B171" s="2" t="n"/>
      <c r="C171" s="2" t="n"/>
      <c r="D171" s="2" t="n"/>
      <c r="E171" s="2" t="n"/>
      <c r="F171" s="2" t="n"/>
      <c r="G171" s="2" t="n"/>
      <c r="H171" s="2" t="n"/>
      <c r="I171" s="2" t="n"/>
      <c r="J171" s="2" t="n"/>
    </row>
    <row r="172" ht="14.25" customHeight="1" s="46">
      <c r="A172" s="2" t="n"/>
      <c r="B172" s="2" t="n"/>
      <c r="C172" s="2" t="n"/>
      <c r="D172" s="2" t="n"/>
      <c r="E172" s="2" t="n"/>
      <c r="F172" s="2" t="n"/>
      <c r="G172" s="2" t="n"/>
      <c r="H172" s="2" t="n"/>
      <c r="I172" s="2" t="n"/>
      <c r="J172" s="2" t="n"/>
    </row>
    <row r="173" ht="14.25" customHeight="1" s="46">
      <c r="A173" s="2" t="n"/>
      <c r="B173" s="2" t="n"/>
      <c r="C173" s="2" t="n"/>
      <c r="D173" s="2" t="n"/>
      <c r="E173" s="2" t="n"/>
      <c r="F173" s="2" t="n"/>
      <c r="G173" s="2" t="n"/>
      <c r="H173" s="2" t="n"/>
      <c r="I173" s="2" t="n"/>
      <c r="J173" s="2" t="n"/>
    </row>
    <row r="174" ht="14.25" customHeight="1" s="46">
      <c r="A174" s="2" t="n"/>
      <c r="B174" s="2" t="n"/>
      <c r="C174" s="2" t="n"/>
      <c r="D174" s="2" t="n"/>
      <c r="E174" s="2" t="n"/>
      <c r="F174" s="2" t="n"/>
      <c r="G174" s="2" t="n"/>
      <c r="H174" s="2" t="n"/>
      <c r="I174" s="2" t="n"/>
      <c r="J174" s="2" t="n"/>
    </row>
    <row r="175" ht="14.25" customHeight="1" s="46">
      <c r="A175" s="2" t="n"/>
      <c r="B175" s="2" t="n"/>
      <c r="C175" s="2" t="n"/>
      <c r="D175" s="2" t="n"/>
      <c r="E175" s="2" t="n"/>
      <c r="F175" s="2" t="n"/>
      <c r="G175" s="2" t="n"/>
      <c r="H175" s="2" t="n"/>
      <c r="I175" s="2" t="n"/>
      <c r="J175" s="2" t="n"/>
    </row>
    <row r="176" ht="14.25" customHeight="1" s="46">
      <c r="A176" s="2" t="n"/>
      <c r="B176" s="2" t="n"/>
      <c r="C176" s="2" t="n"/>
      <c r="D176" s="2" t="n"/>
      <c r="E176" s="2" t="n"/>
      <c r="F176" s="2" t="n"/>
      <c r="G176" s="2" t="n"/>
      <c r="H176" s="2" t="n"/>
      <c r="I176" s="2" t="n"/>
      <c r="J176" s="2" t="n"/>
    </row>
    <row r="177" ht="14.25" customHeight="1" s="46">
      <c r="A177" s="2" t="n"/>
      <c r="B177" s="2" t="n"/>
      <c r="C177" s="2" t="n"/>
      <c r="D177" s="2" t="n"/>
      <c r="E177" s="2" t="n"/>
      <c r="F177" s="2" t="n"/>
      <c r="G177" s="2" t="n"/>
      <c r="H177" s="2" t="n"/>
      <c r="I177" s="2" t="n"/>
      <c r="J177" s="2" t="n"/>
    </row>
    <row r="178" ht="14.25" customHeight="1" s="46">
      <c r="A178" s="2" t="n"/>
      <c r="B178" s="2" t="n"/>
      <c r="C178" s="2" t="n"/>
      <c r="D178" s="2" t="n"/>
      <c r="E178" s="2" t="n"/>
      <c r="F178" s="2" t="n"/>
      <c r="G178" s="2" t="n"/>
      <c r="H178" s="2" t="n"/>
      <c r="I178" s="2" t="n"/>
      <c r="J178" s="2" t="n"/>
    </row>
    <row r="179" ht="14.25" customHeight="1" s="46">
      <c r="A179" s="2" t="n"/>
      <c r="B179" s="2" t="n"/>
      <c r="C179" s="2" t="n"/>
      <c r="D179" s="2" t="n"/>
      <c r="E179" s="2" t="n"/>
      <c r="F179" s="2" t="n"/>
      <c r="G179" s="2" t="n"/>
      <c r="H179" s="2" t="n"/>
      <c r="I179" s="2" t="n"/>
      <c r="J179" s="2" t="n"/>
    </row>
    <row r="180" ht="14.25" customHeight="1" s="46">
      <c r="A180" s="2" t="n"/>
      <c r="B180" s="2" t="n"/>
      <c r="C180" s="2" t="n"/>
      <c r="D180" s="2" t="n"/>
      <c r="E180" s="2" t="n"/>
      <c r="F180" s="2" t="n"/>
      <c r="G180" s="2" t="n"/>
      <c r="H180" s="2" t="n"/>
      <c r="I180" s="2" t="n"/>
      <c r="J180" s="2" t="n"/>
    </row>
    <row r="181" ht="14.25" customHeight="1" s="46">
      <c r="A181" s="2" t="n"/>
      <c r="B181" s="2" t="n"/>
      <c r="C181" s="2" t="n"/>
      <c r="D181" s="2" t="n"/>
      <c r="E181" s="2" t="n"/>
      <c r="F181" s="2" t="n"/>
      <c r="G181" s="2" t="n"/>
      <c r="H181" s="2" t="n"/>
      <c r="I181" s="2" t="n"/>
      <c r="J181" s="2" t="n"/>
    </row>
    <row r="182" ht="14.25" customHeight="1" s="46">
      <c r="A182" s="2" t="n"/>
      <c r="B182" s="2" t="n"/>
      <c r="C182" s="2" t="n"/>
      <c r="D182" s="2" t="n"/>
      <c r="E182" s="2" t="n"/>
      <c r="F182" s="2" t="n"/>
      <c r="G182" s="2" t="n"/>
      <c r="H182" s="2" t="n"/>
      <c r="I182" s="2" t="n"/>
      <c r="J182" s="2" t="n"/>
    </row>
    <row r="183" ht="14.25" customHeight="1" s="46">
      <c r="A183" s="2" t="n"/>
      <c r="B183" s="2" t="n"/>
      <c r="C183" s="2" t="n"/>
      <c r="D183" s="2" t="n"/>
      <c r="E183" s="2" t="n"/>
      <c r="F183" s="2" t="n"/>
      <c r="G183" s="2" t="n"/>
      <c r="H183" s="2" t="n"/>
      <c r="I183" s="2" t="n"/>
      <c r="J183" s="2" t="n"/>
    </row>
    <row r="184" ht="14.25" customHeight="1" s="46">
      <c r="A184" s="2" t="n"/>
      <c r="B184" s="2" t="n"/>
      <c r="C184" s="2" t="n"/>
      <c r="D184" s="2" t="n"/>
      <c r="E184" s="2" t="n"/>
      <c r="F184" s="2" t="n"/>
      <c r="G184" s="2" t="n"/>
      <c r="H184" s="2" t="n"/>
      <c r="I184" s="2" t="n"/>
      <c r="J184" s="2" t="n"/>
    </row>
    <row r="185" ht="14.25" customHeight="1" s="46">
      <c r="A185" s="2" t="n"/>
      <c r="B185" s="2" t="n"/>
      <c r="C185" s="2" t="n"/>
      <c r="D185" s="2" t="n"/>
      <c r="E185" s="2" t="n"/>
      <c r="F185" s="2" t="n"/>
      <c r="G185" s="2" t="n"/>
      <c r="H185" s="2" t="n"/>
      <c r="I185" s="2" t="n"/>
      <c r="J185" s="2" t="n"/>
    </row>
    <row r="186" ht="14.25" customHeight="1" s="46">
      <c r="A186" s="2" t="n"/>
      <c r="B186" s="2" t="n"/>
      <c r="C186" s="2" t="n"/>
      <c r="D186" s="2" t="n"/>
      <c r="E186" s="2" t="n"/>
      <c r="F186" s="2" t="n"/>
      <c r="G186" s="2" t="n"/>
      <c r="H186" s="2" t="n"/>
      <c r="I186" s="2" t="n"/>
      <c r="J186" s="2" t="n"/>
    </row>
    <row r="187" ht="14.25" customHeight="1" s="46">
      <c r="A187" s="2" t="n"/>
      <c r="B187" s="2" t="n"/>
      <c r="C187" s="2" t="n"/>
      <c r="D187" s="2" t="n"/>
      <c r="E187" s="2" t="n"/>
      <c r="F187" s="2" t="n"/>
      <c r="G187" s="2" t="n"/>
      <c r="H187" s="2" t="n"/>
      <c r="I187" s="2" t="n"/>
      <c r="J187" s="2" t="n"/>
    </row>
    <row r="188" ht="14.25" customHeight="1" s="46">
      <c r="A188" s="2" t="n"/>
      <c r="B188" s="2" t="n"/>
      <c r="C188" s="2" t="n"/>
      <c r="D188" s="2" t="n"/>
      <c r="E188" s="2" t="n"/>
      <c r="F188" s="2" t="n"/>
      <c r="G188" s="2" t="n"/>
      <c r="H188" s="2" t="n"/>
      <c r="I188" s="2" t="n"/>
      <c r="J188" s="2" t="n"/>
    </row>
    <row r="189" ht="14.25" customHeight="1" s="46">
      <c r="A189" s="2" t="n"/>
      <c r="B189" s="2" t="n"/>
      <c r="C189" s="2" t="n"/>
      <c r="D189" s="2" t="n"/>
      <c r="E189" s="2" t="n"/>
      <c r="F189" s="2" t="n"/>
      <c r="G189" s="2" t="n"/>
      <c r="H189" s="2" t="n"/>
      <c r="I189" s="2" t="n"/>
      <c r="J189" s="2" t="n"/>
    </row>
    <row r="190" ht="14.25" customHeight="1" s="46">
      <c r="A190" s="2" t="n"/>
      <c r="B190" s="2" t="n"/>
      <c r="C190" s="2" t="n"/>
      <c r="D190" s="2" t="n"/>
      <c r="E190" s="2" t="n"/>
      <c r="F190" s="2" t="n"/>
      <c r="G190" s="2" t="n"/>
      <c r="H190" s="2" t="n"/>
      <c r="I190" s="2" t="n"/>
      <c r="J190" s="2" t="n"/>
    </row>
    <row r="191" ht="14.25" customHeight="1" s="46">
      <c r="A191" s="2" t="n"/>
      <c r="B191" s="2" t="n"/>
      <c r="C191" s="2" t="n"/>
      <c r="D191" s="2" t="n"/>
      <c r="E191" s="2" t="n"/>
      <c r="F191" s="2" t="n"/>
      <c r="G191" s="2" t="n"/>
      <c r="H191" s="2" t="n"/>
      <c r="I191" s="2" t="n"/>
      <c r="J191" s="2" t="n"/>
    </row>
    <row r="192" ht="14.25" customHeight="1" s="46">
      <c r="A192" s="2" t="n"/>
      <c r="B192" s="2" t="n"/>
      <c r="C192" s="2" t="n"/>
      <c r="D192" s="2" t="n"/>
      <c r="E192" s="2" t="n"/>
      <c r="F192" s="2" t="n"/>
      <c r="G192" s="2" t="n"/>
      <c r="H192" s="2" t="n"/>
      <c r="I192" s="2" t="n"/>
      <c r="J192" s="2" t="n"/>
    </row>
    <row r="193" ht="14.25" customHeight="1" s="46">
      <c r="A193" s="2" t="n"/>
      <c r="B193" s="2" t="n"/>
      <c r="C193" s="2" t="n"/>
      <c r="D193" s="2" t="n"/>
      <c r="E193" s="2" t="n"/>
      <c r="F193" s="2" t="n"/>
      <c r="G193" s="2" t="n"/>
      <c r="H193" s="2" t="n"/>
      <c r="I193" s="2" t="n"/>
      <c r="J193" s="2" t="n"/>
    </row>
    <row r="194" ht="14.25" customHeight="1" s="46">
      <c r="A194" s="2" t="n"/>
      <c r="B194" s="2" t="n"/>
      <c r="C194" s="2" t="n"/>
      <c r="D194" s="2" t="n"/>
      <c r="E194" s="2" t="n"/>
      <c r="F194" s="2" t="n"/>
      <c r="G194" s="2" t="n"/>
      <c r="H194" s="2" t="n"/>
      <c r="I194" s="2" t="n"/>
      <c r="J194" s="2" t="n"/>
    </row>
    <row r="195" ht="14.25" customHeight="1" s="46">
      <c r="A195" s="2" t="n"/>
      <c r="B195" s="2" t="n"/>
      <c r="C195" s="2" t="n"/>
      <c r="D195" s="2" t="n"/>
      <c r="E195" s="2" t="n"/>
      <c r="F195" s="2" t="n"/>
      <c r="G195" s="2" t="n"/>
      <c r="H195" s="2" t="n"/>
      <c r="I195" s="2" t="n"/>
      <c r="J195" s="2" t="n"/>
    </row>
    <row r="196" ht="14.25" customHeight="1" s="46">
      <c r="A196" s="2" t="n"/>
      <c r="B196" s="2" t="n"/>
      <c r="C196" s="2" t="n"/>
      <c r="D196" s="2" t="n"/>
      <c r="E196" s="2" t="n"/>
      <c r="F196" s="2" t="n"/>
      <c r="G196" s="2" t="n"/>
      <c r="H196" s="2" t="n"/>
      <c r="I196" s="2" t="n"/>
      <c r="J196" s="2" t="n"/>
    </row>
    <row r="197" ht="14.25" customHeight="1" s="46">
      <c r="A197" s="2" t="n"/>
      <c r="B197" s="2" t="n"/>
      <c r="C197" s="2" t="n"/>
      <c r="D197" s="2" t="n"/>
      <c r="E197" s="2" t="n"/>
      <c r="F197" s="2" t="n"/>
      <c r="G197" s="2" t="n"/>
      <c r="H197" s="2" t="n"/>
      <c r="I197" s="2" t="n"/>
      <c r="J197" s="2" t="n"/>
    </row>
    <row r="198" ht="14.25" customHeight="1" s="46">
      <c r="A198" s="2" t="n"/>
      <c r="B198" s="2" t="n"/>
      <c r="C198" s="2" t="n"/>
      <c r="D198" s="2" t="n"/>
      <c r="E198" s="2" t="n"/>
      <c r="F198" s="2" t="n"/>
      <c r="G198" s="2" t="n"/>
      <c r="H198" s="2" t="n"/>
      <c r="I198" s="2" t="n"/>
      <c r="J198" s="2" t="n"/>
    </row>
    <row r="199" ht="14.25" customHeight="1" s="46">
      <c r="A199" s="2" t="n"/>
      <c r="B199" s="2" t="n"/>
      <c r="C199" s="2" t="n"/>
      <c r="D199" s="2" t="n"/>
      <c r="E199" s="2" t="n"/>
      <c r="F199" s="2" t="n"/>
      <c r="G199" s="2" t="n"/>
      <c r="H199" s="2" t="n"/>
      <c r="I199" s="2" t="n"/>
      <c r="J199" s="2" t="n"/>
    </row>
    <row r="200" ht="14.25" customHeight="1" s="46">
      <c r="A200" s="2" t="n"/>
      <c r="B200" s="2" t="n"/>
      <c r="C200" s="2" t="n"/>
      <c r="D200" s="2" t="n"/>
      <c r="E200" s="2" t="n"/>
      <c r="F200" s="2" t="n"/>
      <c r="G200" s="2" t="n"/>
      <c r="H200" s="2" t="n"/>
      <c r="I200" s="2" t="n"/>
      <c r="J200" s="2" t="n"/>
    </row>
    <row r="201" ht="14.25" customHeight="1" s="46">
      <c r="A201" s="2" t="n"/>
      <c r="B201" s="2" t="n"/>
      <c r="C201" s="2" t="n"/>
      <c r="D201" s="2" t="n"/>
      <c r="E201" s="2" t="n"/>
      <c r="F201" s="2" t="n"/>
      <c r="G201" s="2" t="n"/>
      <c r="H201" s="2" t="n"/>
      <c r="I201" s="2" t="n"/>
      <c r="J201" s="2" t="n"/>
    </row>
    <row r="202" ht="14.25" customHeight="1" s="46">
      <c r="A202" s="2" t="n"/>
      <c r="B202" s="2" t="n"/>
      <c r="C202" s="2" t="n"/>
      <c r="D202" s="2" t="n"/>
      <c r="E202" s="2" t="n"/>
      <c r="F202" s="2" t="n"/>
      <c r="G202" s="2" t="n"/>
      <c r="H202" s="2" t="n"/>
      <c r="I202" s="2" t="n"/>
      <c r="J202" s="2" t="n"/>
    </row>
    <row r="203" ht="14.25" customHeight="1" s="46">
      <c r="A203" s="2" t="n"/>
      <c r="B203" s="2" t="n"/>
      <c r="C203" s="2" t="n"/>
      <c r="D203" s="2" t="n"/>
      <c r="E203" s="2" t="n"/>
      <c r="F203" s="2" t="n"/>
      <c r="G203" s="2" t="n"/>
      <c r="H203" s="2" t="n"/>
      <c r="I203" s="2" t="n"/>
      <c r="J203" s="2" t="n"/>
    </row>
    <row r="204" ht="14.25" customHeight="1" s="46">
      <c r="A204" s="2" t="n"/>
      <c r="B204" s="2" t="n"/>
      <c r="C204" s="2" t="n"/>
      <c r="D204" s="2" t="n"/>
      <c r="E204" s="2" t="n"/>
      <c r="F204" s="2" t="n"/>
      <c r="G204" s="2" t="n"/>
      <c r="H204" s="2" t="n"/>
      <c r="I204" s="2" t="n"/>
      <c r="J204" s="2" t="n"/>
    </row>
    <row r="205" ht="14.25" customHeight="1" s="46">
      <c r="A205" s="2" t="n"/>
      <c r="B205" s="2" t="n"/>
      <c r="C205" s="2" t="n"/>
      <c r="D205" s="2" t="n"/>
      <c r="E205" s="2" t="n"/>
      <c r="F205" s="2" t="n"/>
      <c r="G205" s="2" t="n"/>
      <c r="H205" s="2" t="n"/>
      <c r="I205" s="2" t="n"/>
      <c r="J205" s="2" t="n"/>
    </row>
    <row r="206" ht="14.25" customHeight="1" s="46">
      <c r="A206" s="2" t="n"/>
      <c r="B206" s="2" t="n"/>
      <c r="C206" s="2" t="n"/>
      <c r="D206" s="2" t="n"/>
      <c r="E206" s="2" t="n"/>
      <c r="F206" s="2" t="n"/>
      <c r="G206" s="2" t="n"/>
      <c r="H206" s="2" t="n"/>
      <c r="I206" s="2" t="n"/>
      <c r="J206" s="2" t="n"/>
    </row>
    <row r="207" ht="14.25" customHeight="1" s="46">
      <c r="A207" s="2" t="n"/>
      <c r="B207" s="2" t="n"/>
      <c r="C207" s="2" t="n"/>
      <c r="D207" s="2" t="n"/>
      <c r="E207" s="2" t="n"/>
      <c r="F207" s="2" t="n"/>
      <c r="G207" s="2" t="n"/>
      <c r="H207" s="2" t="n"/>
      <c r="I207" s="2" t="n"/>
      <c r="J207" s="2" t="n"/>
    </row>
    <row r="208" ht="14.25" customHeight="1" s="46">
      <c r="A208" s="2" t="n"/>
      <c r="B208" s="2" t="n"/>
      <c r="C208" s="2" t="n"/>
      <c r="D208" s="2" t="n"/>
      <c r="E208" s="2" t="n"/>
      <c r="F208" s="2" t="n"/>
      <c r="G208" s="2" t="n"/>
      <c r="H208" s="2" t="n"/>
      <c r="I208" s="2" t="n"/>
      <c r="J208" s="2" t="n"/>
    </row>
    <row r="209" ht="14.25" customHeight="1" s="46">
      <c r="A209" s="2" t="n"/>
      <c r="B209" s="2" t="n"/>
      <c r="C209" s="2" t="n"/>
      <c r="D209" s="2" t="n"/>
      <c r="E209" s="2" t="n"/>
      <c r="F209" s="2" t="n"/>
      <c r="G209" s="2" t="n"/>
      <c r="H209" s="2" t="n"/>
      <c r="I209" s="2" t="n"/>
      <c r="J209" s="2" t="n"/>
    </row>
    <row r="210" ht="14.25" customHeight="1" s="46">
      <c r="A210" s="2" t="n"/>
      <c r="B210" s="2" t="n"/>
      <c r="C210" s="2" t="n"/>
      <c r="D210" s="2" t="n"/>
      <c r="E210" s="2" t="n"/>
      <c r="F210" s="2" t="n"/>
      <c r="G210" s="2" t="n"/>
      <c r="H210" s="2" t="n"/>
      <c r="I210" s="2" t="n"/>
      <c r="J210" s="2" t="n"/>
    </row>
    <row r="211" ht="14.25" customHeight="1" s="46">
      <c r="A211" s="2" t="n"/>
      <c r="B211" s="2" t="n"/>
      <c r="C211" s="2" t="n"/>
      <c r="D211" s="2" t="n"/>
      <c r="E211" s="2" t="n"/>
      <c r="F211" s="2" t="n"/>
      <c r="G211" s="2" t="n"/>
      <c r="H211" s="2" t="n"/>
      <c r="I211" s="2" t="n"/>
      <c r="J211" s="2" t="n"/>
    </row>
    <row r="212" ht="14.25" customHeight="1" s="46">
      <c r="A212" s="2" t="n"/>
      <c r="B212" s="2" t="n"/>
      <c r="C212" s="2" t="n"/>
      <c r="D212" s="2" t="n"/>
      <c r="E212" s="2" t="n"/>
      <c r="F212" s="2" t="n"/>
      <c r="G212" s="2" t="n"/>
      <c r="H212" s="2" t="n"/>
      <c r="I212" s="2" t="n"/>
      <c r="J212" s="2" t="n"/>
    </row>
    <row r="213" ht="14.25" customHeight="1" s="46">
      <c r="A213" s="2" t="n"/>
      <c r="B213" s="2" t="n"/>
      <c r="C213" s="2" t="n"/>
      <c r="D213" s="2" t="n"/>
      <c r="E213" s="2" t="n"/>
      <c r="F213" s="2" t="n"/>
      <c r="G213" s="2" t="n"/>
      <c r="H213" s="2" t="n"/>
      <c r="I213" s="2" t="n"/>
      <c r="J213" s="2" t="n"/>
    </row>
    <row r="214" ht="14.25" customHeight="1" s="46">
      <c r="A214" s="2" t="n"/>
      <c r="B214" s="2" t="n"/>
      <c r="C214" s="2" t="n"/>
      <c r="D214" s="2" t="n"/>
      <c r="E214" s="2" t="n"/>
      <c r="F214" s="2" t="n"/>
      <c r="G214" s="2" t="n"/>
      <c r="H214" s="2" t="n"/>
      <c r="I214" s="2" t="n"/>
      <c r="J214" s="2" t="n"/>
    </row>
    <row r="215" ht="14.25" customHeight="1" s="46">
      <c r="A215" s="2" t="n"/>
      <c r="B215" s="2" t="n"/>
      <c r="C215" s="2" t="n"/>
      <c r="D215" s="2" t="n"/>
      <c r="E215" s="2" t="n"/>
      <c r="F215" s="2" t="n"/>
      <c r="G215" s="2" t="n"/>
      <c r="H215" s="2" t="n"/>
      <c r="I215" s="2" t="n"/>
      <c r="J215" s="2" t="n"/>
    </row>
    <row r="216" ht="14.25" customHeight="1" s="46">
      <c r="A216" s="2" t="n"/>
      <c r="B216" s="2" t="n"/>
      <c r="C216" s="2" t="n"/>
      <c r="D216" s="2" t="n"/>
      <c r="E216" s="2" t="n"/>
      <c r="F216" s="2" t="n"/>
      <c r="G216" s="2" t="n"/>
      <c r="H216" s="2" t="n"/>
      <c r="I216" s="2" t="n"/>
      <c r="J216" s="2" t="n"/>
    </row>
    <row r="217" ht="14.25" customHeight="1" s="46">
      <c r="A217" s="2" t="n"/>
      <c r="B217" s="2" t="n"/>
      <c r="C217" s="2" t="n"/>
      <c r="D217" s="2" t="n"/>
      <c r="E217" s="2" t="n"/>
      <c r="F217" s="2" t="n"/>
      <c r="G217" s="2" t="n"/>
      <c r="H217" s="2" t="n"/>
      <c r="I217" s="2" t="n"/>
      <c r="J217" s="2" t="n"/>
    </row>
    <row r="218" ht="14.25" customHeight="1" s="46">
      <c r="A218" s="2" t="n"/>
      <c r="B218" s="2" t="n"/>
      <c r="C218" s="2" t="n"/>
      <c r="D218" s="2" t="n"/>
      <c r="E218" s="2" t="n"/>
      <c r="F218" s="2" t="n"/>
      <c r="G218" s="2" t="n"/>
      <c r="H218" s="2" t="n"/>
      <c r="I218" s="2" t="n"/>
      <c r="J218" s="2" t="n"/>
    </row>
    <row r="219" ht="14.25" customHeight="1" s="46">
      <c r="A219" s="2" t="n"/>
      <c r="B219" s="2" t="n"/>
      <c r="C219" s="2" t="n"/>
      <c r="D219" s="2" t="n"/>
      <c r="E219" s="2" t="n"/>
      <c r="F219" s="2" t="n"/>
      <c r="G219" s="2" t="n"/>
      <c r="H219" s="2" t="n"/>
      <c r="I219" s="2" t="n"/>
      <c r="J219" s="2" t="n"/>
    </row>
    <row r="220" ht="14.25" customHeight="1" s="46">
      <c r="A220" s="2" t="n"/>
      <c r="B220" s="2" t="n"/>
      <c r="C220" s="2" t="n"/>
      <c r="D220" s="2" t="n"/>
      <c r="E220" s="2" t="n"/>
      <c r="F220" s="2" t="n"/>
      <c r="G220" s="2" t="n"/>
      <c r="H220" s="2" t="n"/>
      <c r="I220" s="2" t="n"/>
      <c r="J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N248"/>
  <sheetViews>
    <sheetView workbookViewId="0">
      <pane ySplit="4" topLeftCell="A5" activePane="bottomLeft" state="frozen"/>
      <selection pane="bottomLeft" activeCell="B6" sqref="B6"/>
    </sheetView>
  </sheetViews>
  <sheetFormatPr baseColWidth="8" defaultColWidth="14.43" defaultRowHeight="15" customHeight="1"/>
  <cols>
    <col width="13" customWidth="1" style="46" min="1" max="1"/>
    <col width="4" customWidth="1" style="46" min="2" max="2"/>
    <col width="22" customWidth="1" style="46" min="3" max="3"/>
    <col width="9" customWidth="1" style="46" min="4" max="4"/>
    <col width="16" customWidth="1" style="46" min="5" max="6"/>
    <col width="9" customWidth="1" style="46" min="7" max="8"/>
    <col width="26" customWidth="1" style="46" min="9" max="9"/>
    <col width="12" customWidth="1" style="46" min="10" max="10"/>
    <col width="14" customWidth="1" style="46" min="11" max="11"/>
    <col width="40" customWidth="1" style="46" min="12" max="12"/>
    <col width="34" customWidth="1" style="46" min="13" max="13"/>
    <col width="28" customWidth="1" style="46" min="14" max="14"/>
  </cols>
  <sheetData>
    <row r="1" ht="9" customHeight="1" s="46">
      <c r="A1" s="1" t="inlineStr">
        <is>
          <t>Step 1: the basic line of every industry, and its gates</t>
        </is>
      </c>
      <c r="B1" s="2" t="n"/>
      <c r="C1" s="2" t="n"/>
      <c r="D1" s="2" t="n"/>
      <c r="E1" s="2" t="n"/>
      <c r="F1" s="2" t="n"/>
      <c r="G1" s="2" t="n"/>
      <c r="H1" s="2" t="n"/>
      <c r="I1" s="2" t="n"/>
      <c r="J1" s="2" t="n"/>
      <c r="K1" s="2" t="n"/>
      <c r="L1" s="2" t="n"/>
      <c r="M1" s="2" t="n"/>
      <c r="N1" s="2" t="n"/>
    </row>
    <row r="2" ht="14.25" customHeight="1" s="46">
      <c r="A2" s="3" t="inlineStr">
        <is>
          <t>Edit rank, knowledge and condition freely. "Essential" = needed for that stage's home level (see 1 Budget check).</t>
        </is>
      </c>
      <c r="B2" s="2" t="n"/>
      <c r="C2" s="2" t="n"/>
      <c r="D2" s="2" t="n"/>
      <c r="E2" s="2" t="n"/>
      <c r="F2" s="2" t="n"/>
      <c r="G2" s="2" t="n"/>
      <c r="H2" s="2" t="n"/>
      <c r="I2" s="2" t="n"/>
      <c r="J2" s="2" t="n"/>
      <c r="K2" s="2" t="n"/>
      <c r="L2" s="2" t="n"/>
      <c r="M2" s="2" t="n"/>
      <c r="N2" s="2" t="n"/>
    </row>
    <row r="3" ht="14.25" customHeight="1" s="46">
      <c r="A3" s="2" t="n"/>
      <c r="B3" s="2" t="n"/>
      <c r="C3" s="2" t="n"/>
      <c r="D3" s="2" t="n"/>
      <c r="E3" s="2" t="n"/>
      <c r="F3" s="2" t="n"/>
      <c r="G3" s="2" t="n"/>
      <c r="H3" s="2" t="n"/>
      <c r="I3" s="2" t="n"/>
      <c r="J3" s="2" t="n"/>
      <c r="K3" s="2" t="n"/>
      <c r="L3" s="2" t="n"/>
      <c r="M3" s="2" t="n"/>
      <c r="N3" s="2" t="n"/>
    </row>
    <row r="4" ht="25.5" customHeight="1" s="46">
      <c r="A4" s="9" t="inlineStr">
        <is>
          <t>Line</t>
        </is>
      </c>
      <c r="B4" s="9" t="inlineStr">
        <is>
          <t>#</t>
        </is>
      </c>
      <c r="C4" s="9" t="inlineStr">
        <is>
          <t>Unlock</t>
        </is>
      </c>
      <c r="D4" s="9" t="inlineStr">
        <is>
          <t>Kind</t>
        </is>
      </c>
      <c r="E4" s="9" t="inlineStr">
        <is>
          <t>Makes</t>
        </is>
      </c>
      <c r="F4" s="9" t="inlineStr">
        <is>
          <t>From</t>
        </is>
      </c>
      <c r="G4" s="9" t="inlineStr">
        <is>
          <t>Rank</t>
        </is>
      </c>
      <c r="H4" s="9" t="inlineStr">
        <is>
          <t>Knowledge</t>
        </is>
      </c>
      <c r="I4" s="9" t="inlineStr">
        <is>
          <t>Condition (learn by doing)</t>
        </is>
      </c>
      <c r="J4" s="9" t="inlineStr">
        <is>
          <t>Upkeep (G15)</t>
        </is>
      </c>
      <c r="K4" s="9" t="inlineStr">
        <is>
          <t>Essential for</t>
        </is>
      </c>
      <c r="L4" s="9" t="inlineStr">
        <is>
          <t>Why this gate</t>
        </is>
      </c>
      <c r="M4" s="9" t="inlineStr">
        <is>
          <t>Change from today</t>
        </is>
      </c>
      <c r="N4" s="9" t="inlineStr">
        <is>
          <t>Your notes</t>
        </is>
      </c>
    </row>
    <row r="5" ht="24.75" customHeight="1" s="46">
      <c r="A5" s="7" t="inlineStr">
        <is>
          <t>Timber</t>
        </is>
      </c>
      <c r="B5" s="7" t="n">
        <v>1</v>
      </c>
      <c r="C5" s="7" t="inlineStr">
        <is>
          <t>Woodcutter</t>
        </is>
      </c>
      <c r="D5" s="7" t="inlineStr">
        <is>
          <t>Building</t>
        </is>
      </c>
      <c r="E5" s="7" t="inlineStr">
        <is>
          <t>timber, firewood</t>
        </is>
      </c>
      <c r="F5" s="7" t="n"/>
      <c r="G5" s="11" t="inlineStr">
        <is>
          <t>start</t>
        </is>
      </c>
      <c r="H5" s="11" t="n"/>
      <c r="I5" s="11" t="n"/>
      <c r="J5" s="7" t="inlineStr">
        <is>
          <t>Tools</t>
        </is>
      </c>
      <c r="K5" s="7" t="n"/>
      <c r="L5" s="7" t="inlineStr">
        <is>
          <t>Start: the first thing every town needs.</t>
        </is>
      </c>
      <c r="M5" s="7" t="inlineStr">
        <is>
          <t>Wears wood parts from Village (today tools).</t>
        </is>
      </c>
      <c r="N5" s="45" t="n"/>
    </row>
    <row r="6" ht="14.25" customHeight="1" s="46">
      <c r="A6" s="7" t="inlineStr">
        <is>
          <t>Timber</t>
        </is>
      </c>
      <c r="B6" s="7" t="n">
        <v>2</v>
      </c>
      <c r="C6" s="7" t="inlineStr">
        <is>
          <t>Forester</t>
        </is>
      </c>
      <c r="D6" s="7" t="inlineStr">
        <is>
          <t>Building</t>
        </is>
      </c>
      <c r="E6" s="7" t="inlineStr">
        <is>
          <t>new trees</t>
        </is>
      </c>
      <c r="F6" s="7" t="n"/>
      <c r="G6" s="11" t="n"/>
      <c r="H6" s="11" t="n">
        <v>1</v>
      </c>
      <c r="I6" s="11" t="n"/>
      <c r="J6" s="7" t="inlineStr">
        <is>
          <t>none</t>
        </is>
      </c>
      <c r="K6" s="7" t="n"/>
      <c r="L6" s="7" t="inlineStr">
        <is>
          <t>Teaches replanting once the first woods thin.</t>
        </is>
      </c>
      <c r="M6" s="7" t="inlineStr">
        <is>
          <t>Was open from the start.</t>
        </is>
      </c>
      <c r="N6" s="45" t="n"/>
    </row>
    <row r="7" ht="24.75" customHeight="1" s="46">
      <c r="A7" s="7" t="inlineStr">
        <is>
          <t>Timber</t>
        </is>
      </c>
      <c r="B7" s="7" t="n">
        <v>3</v>
      </c>
      <c r="C7" s="7" t="inlineStr">
        <is>
          <t>Sawmill</t>
        </is>
      </c>
      <c r="D7" s="7" t="inlineStr">
        <is>
          <t>Building</t>
        </is>
      </c>
      <c r="E7" s="7" t="inlineStr">
        <is>
          <t>planks</t>
        </is>
      </c>
      <c r="F7" s="7" t="inlineStr">
        <is>
          <t>timber</t>
        </is>
      </c>
      <c r="G7" s="11" t="inlineStr">
        <is>
          <t>start</t>
        </is>
      </c>
      <c r="H7" s="11" t="n"/>
      <c r="I7" s="11" t="n"/>
      <c r="J7" s="7" t="inlineStr">
        <is>
          <t>Tools</t>
        </is>
      </c>
      <c r="K7" s="7" t="inlineStr">
        <is>
          <t>Timber House</t>
        </is>
      </c>
      <c r="L7" s="7" t="inlineStr">
        <is>
          <t>Timber Houses need planks the moment the town is a Village.</t>
        </is>
      </c>
      <c r="M7" s="7" t="inlineStr">
        <is>
          <t>Was Village.</t>
        </is>
      </c>
      <c r="N7" s="45" t="n"/>
    </row>
    <row r="8" ht="25.5" customHeight="1" s="46">
      <c r="A8" s="7" t="inlineStr">
        <is>
          <t>Timber</t>
        </is>
      </c>
      <c r="B8" s="7" t="n">
        <v>4</v>
      </c>
      <c r="C8" s="7" t="inlineStr">
        <is>
          <t>Carpenter</t>
        </is>
      </c>
      <c r="D8" s="7" t="inlineStr">
        <is>
          <t>Building</t>
        </is>
      </c>
      <c r="E8" s="7" t="inlineStr">
        <is>
          <t>wood parts</t>
        </is>
      </c>
      <c r="F8" s="7" t="inlineStr">
        <is>
          <t>planks</t>
        </is>
      </c>
      <c r="G8" s="11" t="n"/>
      <c r="H8" s="11" t="n">
        <v>1</v>
      </c>
      <c r="I8" s="11" t="n"/>
      <c r="J8" s="7" t="inlineStr">
        <is>
          <t>tools*</t>
        </is>
      </c>
      <c r="K8" s="7" t="inlineStr">
        <is>
          <t>Timber House</t>
        </is>
      </c>
      <c r="L8" s="7" t="inlineStr">
        <is>
          <t>Village buildings wear wood parts; mills are built with them.</t>
        </is>
      </c>
      <c r="M8" s="7" t="inlineStr">
        <is>
          <t>*wears tools only from Town on.</t>
        </is>
      </c>
      <c r="N8" s="45" t="n"/>
    </row>
    <row r="9" ht="24.75" customHeight="1" s="46">
      <c r="A9" s="7" t="inlineStr">
        <is>
          <t>Timber</t>
        </is>
      </c>
      <c r="B9" s="7" t="n">
        <v>5</v>
      </c>
      <c r="C9" s="7" t="inlineStr">
        <is>
          <t>Cooper</t>
        </is>
      </c>
      <c r="D9" s="7" t="inlineStr">
        <is>
          <t>Building</t>
        </is>
      </c>
      <c r="E9" s="7" t="inlineStr">
        <is>
          <t>crates</t>
        </is>
      </c>
      <c r="F9" s="7" t="inlineStr">
        <is>
          <t>planks, iron</t>
        </is>
      </c>
      <c r="G9" s="11" t="n"/>
      <c r="H9" s="11" t="n">
        <v>3</v>
      </c>
      <c r="I9" s="11" t="inlineStr">
        <is>
          <t>a trading post built or dock or winery unlocked</t>
        </is>
      </c>
      <c r="J9" s="7" t="inlineStr">
        <is>
          <t>wood parts</t>
        </is>
      </c>
      <c r="K9" s="7" t="n"/>
      <c r="L9" s="7" t="inlineStr">
        <is>
          <t>Crates matter once there is trade.</t>
        </is>
      </c>
      <c r="M9" s="13" t="inlineStr">
        <is>
          <t>Condition kept as an exception to G7: crates are useless without trade.</t>
        </is>
      </c>
      <c r="N9" s="45" t="n"/>
    </row>
    <row r="10" ht="24.75" customHeight="1" s="46">
      <c r="A10" s="7" t="inlineStr">
        <is>
          <t>Stone &amp; earth</t>
        </is>
      </c>
      <c r="B10" s="7" t="n">
        <v>1</v>
      </c>
      <c r="C10" s="7" t="inlineStr">
        <is>
          <t>Quarry</t>
        </is>
      </c>
      <c r="D10" s="7" t="inlineStr">
        <is>
          <t>Building</t>
        </is>
      </c>
      <c r="E10" s="7" t="inlineStr">
        <is>
          <t>stone</t>
        </is>
      </c>
      <c r="F10" s="7" t="n"/>
      <c r="G10" s="11" t="inlineStr">
        <is>
          <t>start</t>
        </is>
      </c>
      <c r="H10" s="11" t="n"/>
      <c r="I10" s="11" t="n"/>
      <c r="J10" s="7" t="inlineStr">
        <is>
          <t>Tools</t>
        </is>
      </c>
      <c r="K10" s="7" t="n"/>
      <c r="L10" s="7" t="inlineStr">
        <is>
          <t>Start.</t>
        </is>
      </c>
      <c r="M10" s="7" t="inlineStr">
        <is>
          <t>Wears wood parts from Village (today tools).</t>
        </is>
      </c>
      <c r="N10" s="45" t="n"/>
    </row>
    <row r="11" ht="14.25" customHeight="1" s="46">
      <c r="A11" s="7" t="inlineStr">
        <is>
          <t>Stone &amp; earth</t>
        </is>
      </c>
      <c r="B11" s="7" t="n">
        <v>2</v>
      </c>
      <c r="C11" s="7" t="inlineStr">
        <is>
          <t>Clay Pit</t>
        </is>
      </c>
      <c r="D11" s="7" t="inlineStr">
        <is>
          <t>Building</t>
        </is>
      </c>
      <c r="E11" s="7" t="inlineStr">
        <is>
          <t>clay</t>
        </is>
      </c>
      <c r="F11" s="7" t="n"/>
      <c r="G11" s="11" t="inlineStr">
        <is>
          <t>Village</t>
        </is>
      </c>
      <c r="H11" s="11" t="n"/>
      <c r="I11" s="11" t="n"/>
      <c r="J11" s="7" t="inlineStr">
        <is>
          <t>wood parts</t>
        </is>
      </c>
      <c r="K11" s="7" t="inlineStr">
        <is>
          <t>Townhouse</t>
        </is>
      </c>
      <c r="L11" s="7" t="inlineStr">
        <is>
          <t>Needs a shore; the first earth line.</t>
        </is>
      </c>
      <c r="M11" s="7" t="n"/>
      <c r="N11" s="45" t="n"/>
    </row>
    <row r="12" ht="24.75" customHeight="1" s="46">
      <c r="A12" s="7" t="inlineStr">
        <is>
          <t>Stone &amp; earth</t>
        </is>
      </c>
      <c r="B12" s="7" t="n">
        <v>3</v>
      </c>
      <c r="C12" s="7" t="inlineStr">
        <is>
          <t>Kiln</t>
        </is>
      </c>
      <c r="D12" s="7" t="inlineStr">
        <is>
          <t>Building</t>
        </is>
      </c>
      <c r="E12" s="7" t="inlineStr">
        <is>
          <t>tiles</t>
        </is>
      </c>
      <c r="F12" s="13" t="inlineStr">
        <is>
          <t>clay + fuel</t>
        </is>
      </c>
      <c r="G12" s="11" t="n"/>
      <c r="H12" s="11" t="n">
        <v>1</v>
      </c>
      <c r="I12" s="11" t="n"/>
      <c r="J12" s="13" t="inlineStr">
        <is>
          <t>wood parts</t>
        </is>
      </c>
      <c r="K12" s="7" t="inlineStr">
        <is>
          <t>Townhouse</t>
        </is>
      </c>
      <c r="L12" s="7" t="inlineStr">
        <is>
          <t>Townhouses are roofed with tiles.</t>
        </is>
      </c>
      <c r="M12" s="7" t="n"/>
      <c r="N12" s="45" t="n"/>
    </row>
    <row r="13" ht="25.5" customHeight="1" s="46">
      <c r="A13" s="7" t="inlineStr">
        <is>
          <t>Stone &amp; earth</t>
        </is>
      </c>
      <c r="B13" s="7" t="n">
        <v>4</v>
      </c>
      <c r="C13" s="7" t="inlineStr">
        <is>
          <t>Stonemason</t>
        </is>
      </c>
      <c r="D13" s="7" t="inlineStr">
        <is>
          <t>Building</t>
        </is>
      </c>
      <c r="E13" s="7" t="inlineStr">
        <is>
          <t>dressed stone</t>
        </is>
      </c>
      <c r="F13" s="7" t="inlineStr">
        <is>
          <t>stone</t>
        </is>
      </c>
      <c r="G13" s="11" t="n"/>
      <c r="H13" s="11" t="n">
        <v>2</v>
      </c>
      <c r="I13" s="11" t="n"/>
      <c r="J13" s="7" t="inlineStr">
        <is>
          <t>tools</t>
        </is>
      </c>
      <c r="K13" s="7" t="inlineStr">
        <is>
          <t>Merchant's House</t>
        </is>
      </c>
      <c r="L13" s="7" t="inlineStr">
        <is>
          <t>Merchant's Houses, the stone manor and walls use dressed stone.</t>
        </is>
      </c>
      <c r="M13" s="7" t="inlineStr">
        <is>
          <t>Was Village.</t>
        </is>
      </c>
      <c r="N13" s="45" t="n"/>
    </row>
    <row r="14" ht="14.25" customHeight="1" s="46">
      <c r="A14" s="7" t="inlineStr">
        <is>
          <t>Stone &amp; earth</t>
        </is>
      </c>
      <c r="B14" s="7" t="n">
        <v>5</v>
      </c>
      <c r="C14" s="7" t="inlineStr">
        <is>
          <t>Sand Pit</t>
        </is>
      </c>
      <c r="D14" s="7" t="inlineStr">
        <is>
          <t>Building</t>
        </is>
      </c>
      <c r="E14" s="7" t="inlineStr">
        <is>
          <t>sand</t>
        </is>
      </c>
      <c r="F14" s="7" t="n"/>
      <c r="G14" s="11" t="inlineStr">
        <is>
          <t>Town</t>
        </is>
      </c>
      <c r="H14" s="11" t="n"/>
      <c r="I14" s="11" t="n"/>
      <c r="J14" s="7" t="inlineStr">
        <is>
          <t>tools</t>
        </is>
      </c>
      <c r="K14" s="7" t="n"/>
      <c r="L14" s="7" t="inlineStr">
        <is>
          <t>Needs a shore; competes with the clay pit for it.</t>
        </is>
      </c>
      <c r="M14" s="7" t="inlineStr">
        <is>
          <t>Was Village.</t>
        </is>
      </c>
      <c r="N14" s="45" t="n"/>
    </row>
    <row r="15" ht="25.5" customHeight="1" s="46">
      <c r="A15" s="7" t="inlineStr">
        <is>
          <t>Stone &amp; earth</t>
        </is>
      </c>
      <c r="B15" s="7" t="n">
        <v>6</v>
      </c>
      <c r="C15" s="7" t="inlineStr">
        <is>
          <t>Lime Kiln</t>
        </is>
      </c>
      <c r="D15" s="7" t="inlineStr">
        <is>
          <t>Building</t>
        </is>
      </c>
      <c r="E15" s="7" t="inlineStr">
        <is>
          <t>mortar</t>
        </is>
      </c>
      <c r="F15" s="13" t="inlineStr">
        <is>
          <t>stone, sand + fuel</t>
        </is>
      </c>
      <c r="G15" s="11" t="n"/>
      <c r="H15" s="11" t="n">
        <v>2</v>
      </c>
      <c r="I15" s="11" t="n"/>
      <c r="J15" s="7" t="inlineStr">
        <is>
          <t>tools</t>
        </is>
      </c>
      <c r="K15" s="7" t="inlineStr">
        <is>
          <t>Merchant's House</t>
        </is>
      </c>
      <c r="L15" s="7" t="inlineStr">
        <is>
          <t>Mortar joins dressed stone in the fine buildings (uses set in step 3).</t>
        </is>
      </c>
      <c r="M15" s="7" t="inlineStr">
        <is>
          <t>Was Village.</t>
        </is>
      </c>
      <c r="N15" s="45" t="n"/>
    </row>
    <row r="16" ht="24.75" customHeight="1" s="46">
      <c r="A16" s="7" t="inlineStr">
        <is>
          <t>Stone &amp; earth</t>
        </is>
      </c>
      <c r="B16" s="7" t="n">
        <v>7</v>
      </c>
      <c r="C16" s="7" t="inlineStr">
        <is>
          <t>Potter</t>
        </is>
      </c>
      <c r="D16" s="7" t="inlineStr">
        <is>
          <t>Building</t>
        </is>
      </c>
      <c r="E16" s="7" t="inlineStr">
        <is>
          <t>fine pottery</t>
        </is>
      </c>
      <c r="F16" s="13" t="inlineStr">
        <is>
          <t>clay + fuel + dye</t>
        </is>
      </c>
      <c r="G16" s="11" t="n"/>
      <c r="H16" s="11" t="n">
        <v>6</v>
      </c>
      <c r="I16" s="11" t="n"/>
      <c r="J16" s="13" t="inlineStr">
        <is>
          <t>wood parts</t>
        </is>
      </c>
      <c r="K16" s="7" t="inlineStr">
        <is>
          <t>Merchant's House</t>
        </is>
      </c>
      <c r="L16" s="7" t="inlineStr">
        <is>
          <t>The finest homes want glazed pottery.</t>
        </is>
      </c>
      <c r="M16" s="7" t="n"/>
      <c r="N16" s="45" t="n"/>
    </row>
    <row r="17" ht="87" customHeight="1" s="46">
      <c r="A17" s="7" t="inlineStr">
        <is>
          <t>Grain &amp; bread</t>
        </is>
      </c>
      <c r="B17" s="7" t="n">
        <v>1</v>
      </c>
      <c r="C17" s="13" t="inlineStr">
        <is>
          <t>Farmstead + vegetables</t>
        </is>
      </c>
      <c r="D17" s="7" t="inlineStr">
        <is>
          <t>Building</t>
        </is>
      </c>
      <c r="E17" s="13" t="inlineStr">
        <is>
          <t>vegetables (turnips, cabbages, beans)</t>
        </is>
      </c>
      <c r="F17" s="7" t="n"/>
      <c r="G17" s="11" t="inlineStr">
        <is>
          <t>Hamlet</t>
        </is>
      </c>
      <c r="H17" s="11" t="n"/>
      <c r="I17" s="11" t="n"/>
      <c r="J17" s="7" t="inlineStr">
        <is>
          <t>none</t>
        </is>
      </c>
      <c r="K17" s="7" t="inlineStr">
        <is>
          <t>Timber House</t>
        </is>
      </c>
      <c r="L17" s="7" t="inlineStr">
        <is>
          <t>The first food that is grown, not gathered.</t>
        </is>
      </c>
      <c r="M17" s="13" t="inlineStr">
        <is>
          <t>New easy first crop instead of wheat: eaten without milling, poor yield, feeds less. Reuses the vegetables good. Was Village with wheat.</t>
        </is>
      </c>
      <c r="N17" s="45" t="inlineStr">
        <is>
          <t>Potatos or generic vegetables can replace wheat as initial agriculture, since they need no forther work, giving unlucky players a way out (potatos must be inefficient to grow and to feed to counter the easy access)</t>
        </is>
      </c>
    </row>
    <row r="18" ht="14.25" customHeight="1" s="46">
      <c r="A18" s="7" t="inlineStr">
        <is>
          <t>Grain &amp; bread</t>
        </is>
      </c>
      <c r="B18" s="7" t="n">
        <v>2</v>
      </c>
      <c r="C18" s="7" t="inlineStr">
        <is>
          <t>Windmill + Wheat</t>
        </is>
      </c>
      <c r="D18" s="7" t="inlineStr">
        <is>
          <t>Building</t>
        </is>
      </c>
      <c r="E18" s="7" t="inlineStr">
        <is>
          <t>grain + flour</t>
        </is>
      </c>
      <c r="F18" s="7" t="inlineStr">
        <is>
          <t>grain</t>
        </is>
      </c>
      <c r="G18" s="11" t="n"/>
      <c r="H18" s="11" t="n">
        <v>1</v>
      </c>
      <c r="I18" s="11" t="n"/>
      <c r="J18" s="7" t="inlineStr">
        <is>
          <t>wood parts</t>
        </is>
      </c>
      <c r="K18" s="7" t="n"/>
      <c r="L18" s="7" t="n"/>
      <c r="M18" s="13" t="inlineStr">
        <is>
          <t>Wheat comes with the windmill.</t>
        </is>
      </c>
      <c r="N18" s="45" t="n"/>
    </row>
    <row r="19" ht="14.25" customHeight="1" s="46">
      <c r="A19" s="7" t="inlineStr">
        <is>
          <t>Grain &amp; bread</t>
        </is>
      </c>
      <c r="B19" s="7" t="n">
        <v>3</v>
      </c>
      <c r="C19" s="7" t="inlineStr">
        <is>
          <t>Bakery</t>
        </is>
      </c>
      <c r="D19" s="7" t="inlineStr">
        <is>
          <t>Building</t>
        </is>
      </c>
      <c r="E19" s="7" t="inlineStr">
        <is>
          <t>bread</t>
        </is>
      </c>
      <c r="F19" s="13" t="inlineStr">
        <is>
          <t>flour + fuel</t>
        </is>
      </c>
      <c r="G19" s="11" t="n"/>
      <c r="H19" s="11" t="n">
        <v>1</v>
      </c>
      <c r="I19" s="11" t="n"/>
      <c r="J19" s="7" t="inlineStr">
        <is>
          <t>wood parts</t>
        </is>
      </c>
      <c r="K19" s="7" t="n"/>
      <c r="L19" s="7" t="n"/>
      <c r="M19" s="7" t="n"/>
      <c r="N19" s="45" t="n"/>
    </row>
    <row r="20" ht="14.25" customHeight="1" s="46">
      <c r="A20" s="7" t="inlineStr">
        <is>
          <t>Grain &amp; bread</t>
        </is>
      </c>
      <c r="B20" s="7" t="n">
        <v>4</v>
      </c>
      <c r="C20" s="7" t="inlineStr">
        <is>
          <t>Watermill</t>
        </is>
      </c>
      <c r="D20" s="7" t="inlineStr">
        <is>
          <t>Building</t>
        </is>
      </c>
      <c r="E20" s="7" t="inlineStr">
        <is>
          <t>flour</t>
        </is>
      </c>
      <c r="F20" s="7" t="inlineStr">
        <is>
          <t>grain</t>
        </is>
      </c>
      <c r="G20" s="11" t="n"/>
      <c r="H20" s="11" t="n">
        <v>5</v>
      </c>
      <c r="I20" s="11" t="n"/>
      <c r="J20" s="7" t="inlineStr">
        <is>
          <t>wood parts</t>
        </is>
      </c>
      <c r="K20" s="7" t="n"/>
      <c r="L20" s="7" t="inlineStr">
        <is>
          <t>The bigger mill, for towns on a river.</t>
        </is>
      </c>
      <c r="M20" s="7" t="n"/>
      <c r="N20" s="45" t="n"/>
    </row>
    <row r="21" ht="14.25" customHeight="1" s="46">
      <c r="A21" s="7" t="inlineStr">
        <is>
          <t>Grain &amp; bread</t>
        </is>
      </c>
      <c r="B21" s="7" t="n">
        <v>5</v>
      </c>
      <c r="C21" s="7" t="inlineStr">
        <is>
          <t>Barley</t>
        </is>
      </c>
      <c r="D21" s="7" t="inlineStr">
        <is>
          <t>Crop</t>
        </is>
      </c>
      <c r="E21" s="7" t="inlineStr">
        <is>
          <t>barley</t>
        </is>
      </c>
      <c r="F21" s="7" t="n"/>
      <c r="G21" s="11" t="n"/>
      <c r="H21" s="11" t="n">
        <v>1</v>
      </c>
      <c r="I21" s="11" t="n"/>
      <c r="J21" s="7" t="n"/>
      <c r="K21" s="7" t="inlineStr">
        <is>
          <t>Townhouse</t>
        </is>
      </c>
      <c r="L21" s="7" t="n"/>
      <c r="M21" s="7" t="n"/>
      <c r="N21" s="45" t="n"/>
    </row>
    <row r="22" ht="37.5" customHeight="1" s="46">
      <c r="A22" s="7" t="inlineStr">
        <is>
          <t>Grain &amp; bread</t>
        </is>
      </c>
      <c r="B22" s="7" t="n">
        <v>6</v>
      </c>
      <c r="C22" s="7" t="inlineStr">
        <is>
          <t>Brewhouse: ale</t>
        </is>
      </c>
      <c r="D22" s="7" t="inlineStr">
        <is>
          <t>Building</t>
        </is>
      </c>
      <c r="E22" s="7" t="inlineStr">
        <is>
          <t>ale</t>
        </is>
      </c>
      <c r="F22" s="13" t="inlineStr">
        <is>
          <t>barley + fuel</t>
        </is>
      </c>
      <c r="G22" s="11" t="n"/>
      <c r="H22" s="11" t="n">
        <v>1</v>
      </c>
      <c r="I22" s="11" t="n"/>
      <c r="J22" s="7" t="inlineStr">
        <is>
          <t>wood parts</t>
        </is>
      </c>
      <c r="K22" s="7" t="inlineStr">
        <is>
          <t>Townhouse</t>
        </is>
      </c>
      <c r="L22" s="7" t="inlineStr">
        <is>
          <t>Timber Houses want an alehouse with drink.</t>
        </is>
      </c>
      <c r="M22" s="13" t="inlineStr">
        <is>
          <t>Whichever drink is learned first unlocks the brewhouse with it; the other is a recipe.</t>
        </is>
      </c>
      <c r="N22" s="45" t="inlineStr">
        <is>
          <t>Whickever brewhouse picked first unlock the building and the obter unlock recipes</t>
        </is>
      </c>
    </row>
    <row r="23" ht="24.75" customHeight="1" s="46">
      <c r="A23" s="7" t="inlineStr">
        <is>
          <t>Herds</t>
        </is>
      </c>
      <c r="B23" s="7" t="n">
        <v>1</v>
      </c>
      <c r="C23" s="7" t="inlineStr">
        <is>
          <t>Animal farm: sheep and pigs</t>
        </is>
      </c>
      <c r="D23" s="7" t="inlineStr">
        <is>
          <t>Building</t>
        </is>
      </c>
      <c r="E23" s="7" t="inlineStr">
        <is>
          <t>wool, pork, hides</t>
        </is>
      </c>
      <c r="F23" s="7" t="n"/>
      <c r="G23" s="11" t="n"/>
      <c r="H23" s="11" t="n">
        <v>2</v>
      </c>
      <c r="I23" s="11" t="n"/>
      <c r="J23" s="7" t="n"/>
      <c r="K23" s="7" t="n"/>
      <c r="L23" s="7" t="inlineStr">
        <is>
          <t>Wool is the other way to cloth.</t>
        </is>
      </c>
      <c r="M23" s="7" t="n"/>
      <c r="N23" s="45" t="n"/>
    </row>
    <row r="24" ht="14.25" customHeight="1" s="46">
      <c r="A24" s="7" t="inlineStr">
        <is>
          <t>Herds</t>
        </is>
      </c>
      <c r="B24" s="7" t="n">
        <v>2</v>
      </c>
      <c r="C24" s="7" t="inlineStr">
        <is>
          <t>Cattle</t>
        </is>
      </c>
      <c r="D24" s="7" t="inlineStr">
        <is>
          <t>Animal</t>
        </is>
      </c>
      <c r="E24" s="7" t="inlineStr">
        <is>
          <t>milk, meat, hides</t>
        </is>
      </c>
      <c r="F24" s="7" t="n"/>
      <c r="G24" s="11" t="n"/>
      <c r="H24" s="11" t="n">
        <v>2</v>
      </c>
      <c r="I24" s="11" t="n"/>
      <c r="J24" s="7" t="n"/>
      <c r="K24" s="7" t="n"/>
      <c r="L24" s="7" t="inlineStr">
        <is>
          <t>The bigger, dearer beast.</t>
        </is>
      </c>
      <c r="M24" s="7" t="inlineStr">
        <is>
          <t>Was open with the animal farm.</t>
        </is>
      </c>
      <c r="N24" s="45" t="n"/>
    </row>
    <row r="25" ht="14.25" customHeight="1" s="46">
      <c r="A25" s="7" t="inlineStr">
        <is>
          <t>Herds</t>
        </is>
      </c>
      <c r="B25" s="7" t="n">
        <v>3</v>
      </c>
      <c r="C25" s="7" t="inlineStr">
        <is>
          <t>Dairy</t>
        </is>
      </c>
      <c r="D25" s="7" t="inlineStr">
        <is>
          <t>Building</t>
        </is>
      </c>
      <c r="E25" s="7" t="inlineStr">
        <is>
          <t>cheese</t>
        </is>
      </c>
      <c r="F25" s="7" t="inlineStr">
        <is>
          <t>milk</t>
        </is>
      </c>
      <c r="G25" s="11" t="n"/>
      <c r="H25" s="11" t="n">
        <v>2</v>
      </c>
      <c r="I25" s="11" t="n"/>
      <c r="J25" s="7" t="inlineStr">
        <is>
          <t>wood parts</t>
        </is>
      </c>
      <c r="K25" s="7" t="n"/>
      <c r="L25" s="7" t="n"/>
      <c r="M25" s="7" t="n"/>
      <c r="N25" s="45" t="n"/>
    </row>
    <row r="26" ht="24.75" customHeight="1" s="46">
      <c r="A26" s="7" t="inlineStr">
        <is>
          <t>Orchards &amp; hives</t>
        </is>
      </c>
      <c r="B26" s="7" t="n">
        <v>1</v>
      </c>
      <c r="C26" s="7" t="inlineStr">
        <is>
          <t>Orchard keeper: apples</t>
        </is>
      </c>
      <c r="D26" s="7" t="inlineStr">
        <is>
          <t>Building</t>
        </is>
      </c>
      <c r="E26" s="7" t="inlineStr">
        <is>
          <t>apples</t>
        </is>
      </c>
      <c r="F26" s="7" t="n"/>
      <c r="G26" s="11" t="n"/>
      <c r="H26" s="11" t="n">
        <v>1</v>
      </c>
      <c r="I26" s="11" t="n"/>
      <c r="J26" s="7" t="inlineStr">
        <is>
          <t>wood parts</t>
        </is>
      </c>
      <c r="K26" s="7" t="n"/>
      <c r="L26" s="7" t="n"/>
      <c r="M26" s="7" t="n"/>
      <c r="N26" s="45" t="n"/>
    </row>
    <row r="27" ht="24.75" customHeight="1" s="46">
      <c r="A27" s="7" t="inlineStr">
        <is>
          <t>Orchards &amp; hives</t>
        </is>
      </c>
      <c r="B27" s="7" t="n">
        <v>2</v>
      </c>
      <c r="C27" s="13" t="inlineStr">
        <is>
          <t>Plums</t>
        </is>
      </c>
      <c r="D27" s="7" t="inlineStr">
        <is>
          <t>Crop</t>
        </is>
      </c>
      <c r="E27" s="13" t="inlineStr">
        <is>
          <t>plums</t>
        </is>
      </c>
      <c r="F27" s="7" t="n"/>
      <c r="G27" s="11" t="n"/>
      <c r="H27" s="11" t="n">
        <v>1</v>
      </c>
      <c r="I27" s="11" t="n"/>
      <c r="J27" s="7" t="n"/>
      <c r="K27" s="7" t="n"/>
      <c r="L27" s="7" t="inlineStr">
        <is>
          <t>More fruit, more variety.</t>
        </is>
      </c>
      <c r="M27" s="13" t="inlineStr">
        <is>
          <t>Pears move to step 4 (a slow, rich variant).</t>
        </is>
      </c>
      <c r="N27" s="45" t="n"/>
    </row>
    <row r="28" ht="24.75" customHeight="1" s="46">
      <c r="A28" s="7" t="inlineStr">
        <is>
          <t>Orchards &amp; hives</t>
        </is>
      </c>
      <c r="B28" s="7" t="n">
        <v>3</v>
      </c>
      <c r="C28" s="7" t="inlineStr">
        <is>
          <t>Brewhouse: cider</t>
        </is>
      </c>
      <c r="D28" s="7" t="inlineStr">
        <is>
          <t>Recipe</t>
        </is>
      </c>
      <c r="E28" s="7" t="inlineStr">
        <is>
          <t>cider</t>
        </is>
      </c>
      <c r="F28" s="13" t="inlineStr">
        <is>
          <t>apples + fuel</t>
        </is>
      </c>
      <c r="G28" s="11" t="n"/>
      <c r="H28" s="11" t="n">
        <v>1</v>
      </c>
      <c r="I28" s="11" t="n"/>
      <c r="J28" s="7" t="n"/>
      <c r="K28" s="13" t="n"/>
      <c r="L28" s="7" t="inlineStr">
        <is>
          <t>The other drink, for towns with orchards rather than barley.</t>
        </is>
      </c>
      <c r="M28" s="7" t="n"/>
      <c r="N28" s="45" t="n"/>
    </row>
    <row r="29" ht="24.75" customHeight="1" s="46">
      <c r="A29" s="7" t="inlineStr">
        <is>
          <t>Orchards &amp; hives</t>
        </is>
      </c>
      <c r="B29" s="7" t="n">
        <v>4</v>
      </c>
      <c r="C29" s="7" t="inlineStr">
        <is>
          <t>Beehives (backyard)</t>
        </is>
      </c>
      <c r="D29" s="7" t="inlineStr">
        <is>
          <t>Backyard</t>
        </is>
      </c>
      <c r="E29" s="7" t="inlineStr">
        <is>
          <t>honey</t>
        </is>
      </c>
      <c r="F29" s="7" t="n"/>
      <c r="G29" s="11" t="n"/>
      <c r="H29" s="11" t="n">
        <v>2</v>
      </c>
      <c r="I29" s="11" t="n"/>
      <c r="J29" s="7" t="n"/>
      <c r="K29" s="7" t="n"/>
      <c r="L29" s="7" t="inlineStr">
        <is>
          <t>Bees follow the blossom.</t>
        </is>
      </c>
      <c r="M29" s="7" t="n"/>
      <c r="N29" s="45" t="n"/>
    </row>
    <row r="30" ht="24.75" customHeight="1" s="46">
      <c r="A30" s="13" t="inlineStr">
        <is>
          <t>Orchards &amp; hives</t>
        </is>
      </c>
      <c r="B30" s="13" t="n">
        <v>5</v>
      </c>
      <c r="C30" s="13" t="inlineStr">
        <is>
          <t>Beekeeper</t>
        </is>
      </c>
      <c r="D30" s="7" t="inlineStr">
        <is>
          <t>Building</t>
        </is>
      </c>
      <c r="E30" s="7" t="inlineStr">
        <is>
          <t>honey</t>
        </is>
      </c>
      <c r="F30" s="7" t="n"/>
      <c r="G30" s="11" t="n"/>
      <c r="H30" s="11" t="n">
        <v>2</v>
      </c>
      <c r="I30" s="11" t="n"/>
      <c r="J30" s="7" t="n"/>
      <c r="K30" s="7" t="n"/>
      <c r="L30" s="13" t="inlineStr">
        <is>
          <t>The real honey producer; backyard hives stay as a small homemade extra.</t>
        </is>
      </c>
      <c r="M30" s="13" t="inlineStr">
        <is>
          <t>New building.</t>
        </is>
      </c>
      <c r="N30" s="45" t="inlineStr">
        <is>
          <t>New building</t>
        </is>
      </c>
    </row>
    <row r="31" ht="37.5" customHeight="1" s="46">
      <c r="A31" s="7" t="inlineStr">
        <is>
          <t>Wild food &amp; herbs</t>
        </is>
      </c>
      <c r="B31" s="7" t="n">
        <v>1</v>
      </c>
      <c r="C31" s="7" t="inlineStr">
        <is>
          <t>Forager, Hunter, Fisher</t>
        </is>
      </c>
      <c r="D31" s="7" t="inlineStr">
        <is>
          <t>Building</t>
        </is>
      </c>
      <c r="E31" s="13" t="inlineStr">
        <is>
          <t>berries, meat, fish</t>
        </is>
      </c>
      <c r="F31" s="7" t="n"/>
      <c r="G31" s="11" t="n"/>
      <c r="H31" s="11" t="n">
        <v>0</v>
      </c>
      <c r="I31" s="11" t="n"/>
      <c r="J31" s="7" t="inlineStr">
        <is>
          <t>none</t>
        </is>
      </c>
      <c r="K31" s="7" t="n"/>
      <c r="L31" s="7" t="inlineStr">
        <is>
          <t>Start.</t>
        </is>
      </c>
      <c r="M31" s="13" t="inlineStr">
        <is>
          <t>Mushrooms stop being a good; they stay on the map as decoration.</t>
        </is>
      </c>
      <c r="N31" s="45" t="n"/>
    </row>
    <row r="32" ht="24.75" customHeight="1" s="46">
      <c r="A32" s="7" t="inlineStr">
        <is>
          <t>Wild food &amp; herbs</t>
        </is>
      </c>
      <c r="B32" s="7" t="n">
        <v>2</v>
      </c>
      <c r="C32" s="7" t="inlineStr">
        <is>
          <t>Forager: herbs</t>
        </is>
      </c>
      <c r="D32" s="7" t="inlineStr">
        <is>
          <t>Recipe</t>
        </is>
      </c>
      <c r="E32" s="7" t="inlineStr">
        <is>
          <t>herbs</t>
        </is>
      </c>
      <c r="F32" s="7" t="n"/>
      <c r="G32" s="11" t="n"/>
      <c r="H32" s="11" t="n">
        <v>1</v>
      </c>
      <c r="I32" s="11" t="n"/>
      <c r="J32" s="7" t="n"/>
      <c r="K32" s="7" t="inlineStr">
        <is>
          <t>Townhouse</t>
        </is>
      </c>
      <c r="L32" s="7" t="inlineStr">
        <is>
          <t>Herbs wait until the forager knows the woods.</t>
        </is>
      </c>
      <c r="M32" s="13" t="inlineStr">
        <is>
          <t>Was open from the start. Homes without medicine may use herbs instead, but herbs run out three times as fast.</t>
        </is>
      </c>
      <c r="N32" s="45" t="inlineStr">
        <is>
          <t>Herbs can serve as medicine, with dratically smaller efficiency</t>
        </is>
      </c>
    </row>
    <row r="33" ht="24.75" customHeight="1" s="46">
      <c r="A33" s="7" t="inlineStr">
        <is>
          <t>Wild food &amp; herbs</t>
        </is>
      </c>
      <c r="B33" s="7" t="n">
        <v>3</v>
      </c>
      <c r="C33" s="7" t="inlineStr">
        <is>
          <t>Apothecary</t>
        </is>
      </c>
      <c r="D33" s="7" t="inlineStr">
        <is>
          <t>Building</t>
        </is>
      </c>
      <c r="E33" s="7" t="inlineStr">
        <is>
          <t>medicine</t>
        </is>
      </c>
      <c r="F33" s="7" t="inlineStr">
        <is>
          <t>herbs</t>
        </is>
      </c>
      <c r="G33" s="11" t="n"/>
      <c r="H33" s="11" t="n">
        <v>4</v>
      </c>
      <c r="I33" s="11" t="n"/>
      <c r="J33" s="7" t="inlineStr">
        <is>
          <t>tools</t>
        </is>
      </c>
      <c r="K33" s="7" t="inlineStr">
        <is>
          <t>Townhouse</t>
        </is>
      </c>
      <c r="L33" s="7" t="inlineStr">
        <is>
          <t>Townhouses want medicine.</t>
        </is>
      </c>
      <c r="M33" s="7" t="n"/>
      <c r="N33" s="45" t="n"/>
    </row>
    <row r="34" ht="14.25" customHeight="1" s="46">
      <c r="A34" s="7" t="inlineStr">
        <is>
          <t>Cloth &amp; leather</t>
        </is>
      </c>
      <c r="B34" s="7" t="n">
        <v>1</v>
      </c>
      <c r="C34" s="7" t="inlineStr">
        <is>
          <t>Flax</t>
        </is>
      </c>
      <c r="D34" s="7" t="inlineStr">
        <is>
          <t>Crop</t>
        </is>
      </c>
      <c r="E34" s="7" t="inlineStr">
        <is>
          <t>flax</t>
        </is>
      </c>
      <c r="F34" s="7" t="n"/>
      <c r="G34" s="11" t="n"/>
      <c r="H34" s="11" t="n">
        <v>1</v>
      </c>
      <c r="I34" s="11" t="n"/>
      <c r="J34" s="7" t="n"/>
      <c r="K34" s="7" t="inlineStr">
        <is>
          <t>Townhouse</t>
        </is>
      </c>
      <c r="L34" s="7" t="inlineStr">
        <is>
          <t>Linen without sheep.</t>
        </is>
      </c>
      <c r="M34" s="7" t="n"/>
      <c r="N34" s="45" t="n"/>
    </row>
    <row r="35" ht="14.25" customHeight="1" s="46">
      <c r="A35" s="7" t="inlineStr">
        <is>
          <t>Cloth &amp; leather</t>
        </is>
      </c>
      <c r="B35" s="7" t="n">
        <v>2</v>
      </c>
      <c r="C35" s="7" t="inlineStr">
        <is>
          <t>Weaver</t>
        </is>
      </c>
      <c r="D35" s="7" t="inlineStr">
        <is>
          <t>Building</t>
        </is>
      </c>
      <c r="E35" s="7" t="inlineStr">
        <is>
          <t>cloth</t>
        </is>
      </c>
      <c r="F35" s="7" t="inlineStr">
        <is>
          <t>wool or flax</t>
        </is>
      </c>
      <c r="G35" s="11" t="n"/>
      <c r="H35" s="11" t="n">
        <v>2</v>
      </c>
      <c r="I35" s="11" t="n"/>
      <c r="J35" s="7" t="inlineStr">
        <is>
          <t>wood parts</t>
        </is>
      </c>
      <c r="K35" s="7" t="inlineStr">
        <is>
          <t>Townhouse</t>
        </is>
      </c>
      <c r="L35" s="7" t="n"/>
      <c r="M35" s="7" t="n"/>
      <c r="N35" s="45" t="n"/>
    </row>
    <row r="36" ht="14.25" customHeight="1" s="46">
      <c r="A36" s="7" t="inlineStr">
        <is>
          <t>Cloth &amp; leather</t>
        </is>
      </c>
      <c r="B36" s="7" t="n">
        <v>3</v>
      </c>
      <c r="C36" s="7" t="inlineStr">
        <is>
          <t>Tailor: clothes</t>
        </is>
      </c>
      <c r="D36" s="7" t="inlineStr">
        <is>
          <t>Building</t>
        </is>
      </c>
      <c r="E36" s="7" t="inlineStr">
        <is>
          <t>clothes</t>
        </is>
      </c>
      <c r="F36" s="7" t="inlineStr">
        <is>
          <t>cloth</t>
        </is>
      </c>
      <c r="G36" s="11" t="n"/>
      <c r="H36" s="11" t="n">
        <v>2</v>
      </c>
      <c r="I36" s="11" t="n"/>
      <c r="J36" s="7" t="inlineStr">
        <is>
          <t>wood parts</t>
        </is>
      </c>
      <c r="K36" s="7" t="inlineStr">
        <is>
          <t>Townhouse</t>
        </is>
      </c>
      <c r="L36" s="7" t="inlineStr">
        <is>
          <t>Timber Houses need clothes.</t>
        </is>
      </c>
      <c r="M36" s="7" t="n"/>
      <c r="N36" s="45" t="n"/>
    </row>
    <row r="37" ht="14.25" customHeight="1" s="46">
      <c r="A37" s="7" t="inlineStr">
        <is>
          <t>Cloth &amp; leather</t>
        </is>
      </c>
      <c r="B37" s="7" t="n">
        <v>4</v>
      </c>
      <c r="C37" s="7" t="inlineStr">
        <is>
          <t>Tanner</t>
        </is>
      </c>
      <c r="D37" s="7" t="inlineStr">
        <is>
          <t>Building</t>
        </is>
      </c>
      <c r="E37" s="7" t="inlineStr">
        <is>
          <t>leather</t>
        </is>
      </c>
      <c r="F37" s="7" t="inlineStr">
        <is>
          <t>hides</t>
        </is>
      </c>
      <c r="G37" s="11" t="n"/>
      <c r="H37" s="11" t="n">
        <v>2</v>
      </c>
      <c r="I37" s="11" t="n"/>
      <c r="J37" s="7" t="inlineStr">
        <is>
          <t>wood parts</t>
        </is>
      </c>
      <c r="K37" s="13" t="inlineStr">
        <is>
          <t>Merchant's House</t>
        </is>
      </c>
      <c r="L37" s="7" t="n"/>
      <c r="M37" s="7" t="n"/>
      <c r="N37" s="45" t="n"/>
    </row>
    <row r="38" ht="14.25" customHeight="1" s="46">
      <c r="A38" s="7" t="inlineStr">
        <is>
          <t>Cloth &amp; leather</t>
        </is>
      </c>
      <c r="B38" s="7" t="n">
        <v>5</v>
      </c>
      <c r="C38" s="7" t="inlineStr">
        <is>
          <t>Tailor: boots</t>
        </is>
      </c>
      <c r="D38" s="7" t="inlineStr">
        <is>
          <t>Recipe</t>
        </is>
      </c>
      <c r="E38" s="7" t="inlineStr">
        <is>
          <t>boots</t>
        </is>
      </c>
      <c r="F38" s="7" t="inlineStr">
        <is>
          <t>leather</t>
        </is>
      </c>
      <c r="G38" s="11" t="n"/>
      <c r="H38" s="11" t="n">
        <v>3</v>
      </c>
      <c r="I38" s="11" t="n"/>
      <c r="J38" s="7" t="n"/>
      <c r="K38" s="13" t="inlineStr">
        <is>
          <t>Merchant's House</t>
        </is>
      </c>
      <c r="L38" s="7" t="inlineStr">
        <is>
          <t>Townhouses need boots.</t>
        </is>
      </c>
      <c r="M38" s="13" t="inlineStr">
        <is>
          <t>Was open with the tailor. Boots are now a Merchant's House need (step 2).</t>
        </is>
      </c>
      <c r="N38" s="45" t="n"/>
    </row>
    <row r="39" ht="14.25" customHeight="1" s="46">
      <c r="A39" s="7" t="inlineStr">
        <is>
          <t>Cloth &amp; leather</t>
        </is>
      </c>
      <c r="B39" s="7" t="n">
        <v>6</v>
      </c>
      <c r="C39" s="7" t="inlineStr">
        <is>
          <t>Woad</t>
        </is>
      </c>
      <c r="D39" s="7" t="inlineStr">
        <is>
          <t>Crop</t>
        </is>
      </c>
      <c r="E39" s="7" t="inlineStr">
        <is>
          <t>woad</t>
        </is>
      </c>
      <c r="F39" s="7" t="n"/>
      <c r="G39" s="11" t="n"/>
      <c r="H39" s="11" t="n">
        <v>3</v>
      </c>
      <c r="I39" s="11" t="n"/>
      <c r="J39" s="7" t="n"/>
      <c r="K39" s="7" t="n"/>
      <c r="L39" s="7" t="inlineStr">
        <is>
          <t>The dye line arrives with the Town.</t>
        </is>
      </c>
      <c r="M39" s="7" t="n"/>
      <c r="N39" s="45" t="n"/>
    </row>
    <row r="40" ht="37.5" customHeight="1" s="46">
      <c r="A40" s="7" t="inlineStr">
        <is>
          <t>Cloth &amp; leather</t>
        </is>
      </c>
      <c r="B40" s="7" t="n">
        <v>7</v>
      </c>
      <c r="C40" s="7" t="inlineStr">
        <is>
          <t>Dyer</t>
        </is>
      </c>
      <c r="D40" s="7" t="inlineStr">
        <is>
          <t>Building</t>
        </is>
      </c>
      <c r="E40" s="7" t="inlineStr">
        <is>
          <t>dyes</t>
        </is>
      </c>
      <c r="F40" s="13" t="inlineStr">
        <is>
          <t>woad or berries + fuel</t>
        </is>
      </c>
      <c r="G40" s="11" t="n"/>
      <c r="H40" s="11" t="n">
        <v>5</v>
      </c>
      <c r="I40" s="11" t="n"/>
      <c r="J40" s="13" t="inlineStr">
        <is>
          <t>wood parts</t>
        </is>
      </c>
      <c r="K40" s="7" t="n"/>
      <c r="L40" s="7" t="inlineStr">
        <is>
          <t>Dyes feed fine clothes and stained glass (step 3).</t>
        </is>
      </c>
      <c r="M40" s="13" t="inlineStr">
        <is>
          <t>Berries are a second, food-hungry route to dyes.</t>
        </is>
      </c>
      <c r="N40" s="45" t="inlineStr">
        <is>
          <t>Adding berries give another route to dyies that consume a type of food that is limited</t>
        </is>
      </c>
    </row>
    <row r="41" ht="14.25" customHeight="1" s="46">
      <c r="A41" s="7" t="inlineStr">
        <is>
          <t>Iron &amp; tools</t>
        </is>
      </c>
      <c r="B41" s="7" t="n">
        <v>1</v>
      </c>
      <c r="C41" s="7" t="inlineStr">
        <is>
          <t>Bog Iron Pit</t>
        </is>
      </c>
      <c r="D41" s="7" t="inlineStr">
        <is>
          <t>Building</t>
        </is>
      </c>
      <c r="E41" s="7" t="inlineStr">
        <is>
          <t>ore</t>
        </is>
      </c>
      <c r="F41" s="7" t="n"/>
      <c r="G41" s="11" t="n"/>
      <c r="H41" s="11" t="n">
        <v>4</v>
      </c>
      <c r="I41" s="11" t="n"/>
      <c r="J41" s="7" t="inlineStr">
        <is>
          <t>tools</t>
        </is>
      </c>
      <c r="K41" s="13" t="n"/>
      <c r="L41" s="7" t="inlineStr">
        <is>
          <t>Needs bog ore on the map.</t>
        </is>
      </c>
      <c r="M41" s="7" t="n"/>
      <c r="N41" s="45" t="n"/>
    </row>
    <row r="42" ht="14.25" customHeight="1" s="46">
      <c r="A42" s="7" t="inlineStr">
        <is>
          <t>Iron &amp; tools</t>
        </is>
      </c>
      <c r="B42" s="7" t="n">
        <v>2</v>
      </c>
      <c r="C42" s="7" t="inlineStr">
        <is>
          <t>Charcoal Burner</t>
        </is>
      </c>
      <c r="D42" s="7" t="inlineStr">
        <is>
          <t>Building</t>
        </is>
      </c>
      <c r="E42" s="7" t="inlineStr">
        <is>
          <t>charcoal</t>
        </is>
      </c>
      <c r="F42" s="7" t="inlineStr">
        <is>
          <t>timber</t>
        </is>
      </c>
      <c r="G42" s="11" t="n"/>
      <c r="H42" s="11" t="n">
        <v>3</v>
      </c>
      <c r="I42" s="11" t="n"/>
      <c r="J42" s="7" t="inlineStr">
        <is>
          <t>tools</t>
        </is>
      </c>
      <c r="K42" s="13" t="n"/>
      <c r="L42" s="7" t="inlineStr">
        <is>
          <t>The hot fuel for iron and glass.</t>
        </is>
      </c>
      <c r="M42" s="7" t="n"/>
      <c r="N42" s="45" t="n"/>
    </row>
    <row r="43" ht="25.5" customHeight="1" s="46">
      <c r="A43" s="7" t="inlineStr">
        <is>
          <t>Iron &amp; tools</t>
        </is>
      </c>
      <c r="B43" s="7" t="n">
        <v>3</v>
      </c>
      <c r="C43" s="7" t="inlineStr">
        <is>
          <t>Bloomery</t>
        </is>
      </c>
      <c r="D43" s="7" t="inlineStr">
        <is>
          <t>Building</t>
        </is>
      </c>
      <c r="E43" s="7" t="inlineStr">
        <is>
          <t>iron</t>
        </is>
      </c>
      <c r="F43" s="13" t="inlineStr">
        <is>
          <t>ore + fuel (charcoal best)</t>
        </is>
      </c>
      <c r="G43" s="11" t="inlineStr">
        <is>
          <t>Village</t>
        </is>
      </c>
      <c r="H43" s="11" t="n"/>
      <c r="I43" s="11" t="n"/>
      <c r="J43" s="13" t="inlineStr">
        <is>
          <t>tools</t>
        </is>
      </c>
      <c r="K43" s="13" t="n"/>
      <c r="L43" s="7" t="n"/>
      <c r="M43" s="7" t="inlineStr">
        <is>
          <t>Burns charcoal instead of firewood (gives charcoal its second use).</t>
        </is>
      </c>
      <c r="N43" s="45" t="n"/>
    </row>
    <row r="44" ht="25.5" customHeight="1" s="46">
      <c r="A44" s="7" t="inlineStr">
        <is>
          <t>Iron &amp; tools</t>
        </is>
      </c>
      <c r="B44" s="7" t="n">
        <v>4</v>
      </c>
      <c r="C44" s="7" t="inlineStr">
        <is>
          <t>Blacksmith</t>
        </is>
      </c>
      <c r="D44" s="7" t="inlineStr">
        <is>
          <t>Building</t>
        </is>
      </c>
      <c r="E44" s="7" t="inlineStr">
        <is>
          <t>tools</t>
        </is>
      </c>
      <c r="F44" s="13" t="inlineStr">
        <is>
          <t>iron, timber + fuel</t>
        </is>
      </c>
      <c r="G44" s="11" t="n"/>
      <c r="H44" s="11" t="n">
        <v>2</v>
      </c>
      <c r="I44" s="11" t="n"/>
      <c r="J44" s="7" t="inlineStr">
        <is>
          <t>tools</t>
        </is>
      </c>
      <c r="K44" s="13" t="n"/>
      <c r="L44" s="7" t="inlineStr">
        <is>
          <t>Town buildings wear tools; Townhouses are built with them. Until then, tools are bought.</t>
        </is>
      </c>
      <c r="M44" s="13" t="inlineStr">
        <is>
          <t>Not essential: tools can be imported until the town makes them (G15).</t>
        </is>
      </c>
      <c r="N44" s="45" t="n"/>
    </row>
    <row r="45" ht="24.75" customHeight="1" s="46">
      <c r="A45" s="7" t="inlineStr">
        <is>
          <t>Glass</t>
        </is>
      </c>
      <c r="B45" s="7" t="n">
        <v>1</v>
      </c>
      <c r="C45" s="7" t="inlineStr">
        <is>
          <t>Glassworks</t>
        </is>
      </c>
      <c r="D45" s="7" t="inlineStr">
        <is>
          <t>Building</t>
        </is>
      </c>
      <c r="E45" s="7" t="inlineStr">
        <is>
          <t>glass</t>
        </is>
      </c>
      <c r="F45" s="13" t="inlineStr">
        <is>
          <t>sand, charcoal</t>
        </is>
      </c>
      <c r="G45" s="11" t="n"/>
      <c r="H45" s="11" t="n">
        <v>10</v>
      </c>
      <c r="I45" s="11" t="n"/>
      <c r="J45" s="7" t="inlineStr">
        <is>
          <t>tools</t>
        </is>
      </c>
      <c r="K45" s="7" t="inlineStr">
        <is>
          <t>Merchant's House</t>
        </is>
      </c>
      <c r="L45" s="7" t="inlineStr">
        <is>
          <t>Glass is for the grandest buildings (uses set in step 3).</t>
        </is>
      </c>
      <c r="M45" s="13" t="inlineStr">
        <is>
          <t>Was Town. Still needs charcoal itself (G18). A town that rushes it imports sand until it is a Town.</t>
        </is>
      </c>
      <c r="N45" s="45" t="inlineStr">
        <is>
          <t>Glass can serve as luxury, besides contruction material</t>
        </is>
      </c>
    </row>
    <row r="46" ht="24.75" customHeight="1" s="46">
      <c r="A46" s="13" t="inlineStr">
        <is>
          <t>Paper</t>
        </is>
      </c>
      <c r="B46" s="13" t="n">
        <v>1</v>
      </c>
      <c r="C46" s="13" t="inlineStr">
        <is>
          <t>Paper Mill</t>
        </is>
      </c>
      <c r="D46" s="5" t="inlineStr">
        <is>
          <t>Building</t>
        </is>
      </c>
      <c r="E46" s="13" t="inlineStr">
        <is>
          <t>paper</t>
        </is>
      </c>
      <c r="F46" s="13" t="inlineStr">
        <is>
          <t>flax</t>
        </is>
      </c>
      <c r="G46" s="21" t="n"/>
      <c r="H46" s="21" t="n">
        <v>8</v>
      </c>
      <c r="I46" s="21" t="n"/>
      <c r="J46" s="13" t="inlineStr">
        <is>
          <t>wood parts</t>
        </is>
      </c>
      <c r="K46" s="5" t="inlineStr">
        <is>
          <t>Administrative buildings</t>
        </is>
      </c>
      <c r="L46" s="13" t="inlineStr">
        <is>
          <t>Rag paper by water. Feeds the administrative buildings (step 2); they work worse without it.</t>
        </is>
      </c>
      <c r="M46" s="13" t="inlineStr">
        <is>
          <t>New. The charter Scriptorium becomes books only.</t>
        </is>
      </c>
      <c r="N46" s="23" t="n"/>
    </row>
    <row r="47" ht="14.25" customHeight="1" s="46">
      <c r="A47" s="2" t="n"/>
      <c r="B47" s="2" t="n"/>
      <c r="C47" s="2" t="n"/>
      <c r="D47" s="2" t="n"/>
      <c r="E47" s="2" t="n"/>
      <c r="F47" s="2" t="n"/>
      <c r="G47" s="2" t="n"/>
      <c r="H47" s="2" t="n"/>
      <c r="I47" s="2" t="n"/>
      <c r="J47" s="2" t="n"/>
      <c r="K47" s="2" t="n"/>
      <c r="L47" s="2" t="n"/>
      <c r="M47" s="2" t="n"/>
      <c r="N47" s="2" t="n"/>
    </row>
    <row r="48" ht="78" customHeight="1" s="46">
      <c r="A48" s="3" t="inlineStr">
        <is>
          <t>Not here on purpose: Scriptorium, Winery and Jeweller stay charter buildings; Armoury, stained glass, fine clothes, books, wine, mead and jewellery are mixed or late goods (step 3); Silo, Trading Post, Dock, Alehouse, Builder's Yard, Draught Stable, Monastery and Church are civic (step 2).</t>
        </is>
      </c>
      <c r="B48" s="2" t="n"/>
      <c r="C48" s="2" t="n"/>
      <c r="D48" s="2" t="n"/>
      <c r="E48" s="2" t="n"/>
      <c r="F48" s="2" t="n"/>
      <c r="G48" s="2" t="n"/>
      <c r="H48" s="2" t="n"/>
      <c r="I48" s="2" t="n"/>
      <c r="J48" s="2" t="n"/>
      <c r="K48" s="2" t="n"/>
      <c r="L48" s="2" t="n"/>
      <c r="M48" s="2" t="n"/>
      <c r="N48" s="2" t="n"/>
    </row>
    <row r="49" ht="14.25" customHeight="1" s="46">
      <c r="A49" s="2" t="n"/>
      <c r="B49" s="2" t="n"/>
      <c r="C49" s="2" t="n"/>
      <c r="D49" s="2" t="n"/>
      <c r="E49" s="2" t="n"/>
      <c r="F49" s="2" t="n"/>
      <c r="G49" s="2" t="n"/>
      <c r="H49" s="2" t="n"/>
      <c r="I49" s="2" t="n"/>
      <c r="J49" s="2" t="n"/>
      <c r="K49" s="2" t="n"/>
      <c r="L49" s="2" t="n"/>
      <c r="M49" s="2" t="n"/>
      <c r="N49" s="2" t="n"/>
    </row>
    <row r="50" ht="14.25" customHeight="1" s="46">
      <c r="A50" s="2" t="n"/>
      <c r="B50" s="2" t="n"/>
      <c r="C50" s="2" t="n"/>
      <c r="D50" s="2" t="n"/>
      <c r="E50" s="2" t="n"/>
      <c r="F50" s="2" t="n"/>
      <c r="G50" s="2" t="n"/>
      <c r="H50" s="2" t="n"/>
      <c r="I50" s="2" t="n"/>
      <c r="J50" s="2" t="n"/>
      <c r="K50" s="2" t="n"/>
      <c r="L50" s="2" t="n"/>
      <c r="M50" s="2" t="n"/>
      <c r="N50" s="2" t="n"/>
    </row>
    <row r="51" ht="14.25" customHeight="1" s="46">
      <c r="A51" s="2" t="n"/>
      <c r="B51" s="2" t="n"/>
      <c r="C51" s="2" t="n"/>
      <c r="D51" s="2" t="n"/>
      <c r="E51" s="2" t="n"/>
      <c r="F51" s="2" t="n"/>
      <c r="G51" s="2" t="n"/>
      <c r="H51" s="2" t="n"/>
      <c r="I51" s="2" t="n"/>
      <c r="J51" s="2" t="n"/>
      <c r="K51" s="2" t="n"/>
      <c r="L51" s="2" t="n"/>
      <c r="M51" s="2" t="n"/>
      <c r="N51" s="2" t="n"/>
    </row>
    <row r="52" ht="14.25" customHeight="1" s="46">
      <c r="A52" s="2" t="n"/>
      <c r="B52" s="2" t="n"/>
      <c r="C52" s="2" t="n"/>
      <c r="D52" s="2" t="n"/>
      <c r="E52" s="2" t="n"/>
      <c r="F52" s="2" t="n"/>
      <c r="G52" s="2" t="n"/>
      <c r="H52" s="2" t="n"/>
      <c r="I52" s="2" t="n"/>
      <c r="J52" s="2" t="n"/>
      <c r="K52" s="2" t="n"/>
      <c r="L52" s="2" t="n"/>
      <c r="M52" s="2" t="n"/>
      <c r="N52" s="2" t="n"/>
    </row>
    <row r="53" ht="14.25" customHeight="1" s="46">
      <c r="A53" s="2" t="n"/>
      <c r="B53" s="2" t="n"/>
      <c r="C53" s="2" t="n"/>
      <c r="D53" s="2" t="n"/>
      <c r="E53" s="2" t="n"/>
      <c r="F53" s="2" t="n"/>
      <c r="G53" s="2" t="n"/>
      <c r="H53" s="2" t="n"/>
      <c r="I53" s="2" t="n"/>
      <c r="J53" s="2" t="n"/>
      <c r="K53" s="2" t="n"/>
      <c r="L53" s="2" t="n"/>
      <c r="M53" s="2" t="n"/>
      <c r="N53" s="2" t="n"/>
    </row>
    <row r="54" ht="14.25" customHeight="1" s="46">
      <c r="A54" s="2" t="n"/>
      <c r="B54" s="2" t="n"/>
      <c r="C54" s="2" t="n"/>
      <c r="D54" s="2" t="n"/>
      <c r="E54" s="2" t="n"/>
      <c r="F54" s="2" t="n"/>
      <c r="G54" s="2" t="n"/>
      <c r="H54" s="2" t="n"/>
      <c r="I54" s="2" t="n"/>
      <c r="J54" s="2" t="n"/>
      <c r="K54" s="2" t="n"/>
      <c r="L54" s="2" t="n"/>
      <c r="M54" s="2" t="n"/>
      <c r="N54" s="2" t="n"/>
    </row>
    <row r="55" ht="14.25" customHeight="1" s="46">
      <c r="A55" s="2" t="n"/>
      <c r="B55" s="2" t="n"/>
      <c r="C55" s="2" t="n"/>
      <c r="D55" s="2" t="n"/>
      <c r="E55" s="2" t="n"/>
      <c r="F55" s="2" t="n"/>
      <c r="G55" s="2" t="n"/>
      <c r="H55" s="2" t="n"/>
      <c r="I55" s="2" t="n"/>
      <c r="J55" s="2" t="n"/>
      <c r="K55" s="2" t="n"/>
      <c r="L55" s="2" t="n"/>
      <c r="M55" s="2" t="n"/>
      <c r="N55" s="2" t="n"/>
    </row>
    <row r="56" ht="14.25" customHeight="1" s="46">
      <c r="A56" s="2" t="n"/>
      <c r="B56" s="2" t="n"/>
      <c r="C56" s="2" t="n"/>
      <c r="D56" s="2" t="n"/>
      <c r="E56" s="2" t="n"/>
      <c r="F56" s="2" t="n"/>
      <c r="G56" s="2" t="n"/>
      <c r="H56" s="2" t="n"/>
      <c r="I56" s="2" t="n"/>
      <c r="J56" s="2" t="n"/>
      <c r="K56" s="2" t="n"/>
      <c r="L56" s="2" t="n"/>
      <c r="M56" s="2" t="n"/>
      <c r="N56" s="2" t="n"/>
    </row>
    <row r="57" ht="14.25" customHeight="1" s="46">
      <c r="A57" s="2" t="n"/>
      <c r="B57" s="2" t="n"/>
      <c r="C57" s="2" t="n"/>
      <c r="D57" s="2" t="n"/>
      <c r="E57" s="2" t="n"/>
      <c r="F57" s="2" t="n"/>
      <c r="G57" s="2" t="n"/>
      <c r="H57" s="2" t="n"/>
      <c r="I57" s="2" t="n"/>
      <c r="J57" s="2" t="n"/>
      <c r="K57" s="2" t="n"/>
      <c r="L57" s="2" t="n"/>
      <c r="M57" s="2" t="n"/>
      <c r="N57" s="2" t="n"/>
    </row>
    <row r="58" ht="14.25" customHeight="1" s="46">
      <c r="A58" s="2" t="n"/>
      <c r="B58" s="2" t="n"/>
      <c r="C58" s="2" t="n"/>
      <c r="D58" s="2" t="n"/>
      <c r="E58" s="2" t="n"/>
      <c r="F58" s="2" t="n"/>
      <c r="G58" s="2" t="n"/>
      <c r="H58" s="2" t="n"/>
      <c r="I58" s="2" t="n"/>
      <c r="J58" s="2" t="n"/>
      <c r="K58" s="2" t="n"/>
      <c r="L58" s="2" t="n"/>
      <c r="M58" s="2" t="n"/>
      <c r="N58" s="2" t="n"/>
    </row>
    <row r="59" ht="14.25" customHeight="1" s="46">
      <c r="A59" s="2" t="n"/>
      <c r="B59" s="2" t="n"/>
      <c r="C59" s="2" t="n"/>
      <c r="D59" s="2" t="n"/>
      <c r="E59" s="2" t="n"/>
      <c r="F59" s="2" t="n"/>
      <c r="G59" s="2" t="n"/>
      <c r="H59" s="2" t="n"/>
      <c r="I59" s="2" t="n"/>
      <c r="J59" s="2" t="n"/>
      <c r="K59" s="2" t="n"/>
      <c r="L59" s="2" t="n"/>
      <c r="M59" s="2" t="n"/>
      <c r="N59" s="2" t="n"/>
    </row>
    <row r="60" ht="14.25" customHeight="1" s="46">
      <c r="A60" s="2" t="n"/>
      <c r="B60" s="2" t="n"/>
      <c r="C60" s="2" t="n"/>
      <c r="D60" s="2" t="n"/>
      <c r="E60" s="2" t="n"/>
      <c r="F60" s="2" t="n"/>
      <c r="G60" s="2" t="n"/>
      <c r="H60" s="2" t="n"/>
      <c r="I60" s="2" t="n"/>
      <c r="J60" s="2" t="n"/>
      <c r="K60" s="2" t="n"/>
      <c r="L60" s="2" t="n"/>
      <c r="M60" s="2" t="n"/>
      <c r="N60" s="2" t="n"/>
    </row>
    <row r="61" ht="14.25" customHeight="1" s="46">
      <c r="A61" s="2" t="n"/>
      <c r="B61" s="2" t="n"/>
      <c r="C61" s="2" t="n"/>
      <c r="D61" s="2" t="n"/>
      <c r="E61" s="2" t="n"/>
      <c r="F61" s="2" t="n"/>
      <c r="G61" s="2" t="n"/>
      <c r="H61" s="2" t="n"/>
      <c r="I61" s="2" t="n"/>
      <c r="J61" s="2" t="n"/>
      <c r="K61" s="2" t="n"/>
      <c r="L61" s="2" t="n"/>
      <c r="M61" s="2" t="n"/>
      <c r="N61" s="2" t="n"/>
    </row>
    <row r="62" ht="14.25" customHeight="1" s="46">
      <c r="A62" s="2" t="n"/>
      <c r="B62" s="2" t="n"/>
      <c r="C62" s="2" t="n"/>
      <c r="D62" s="2" t="n"/>
      <c r="E62" s="2" t="n"/>
      <c r="F62" s="2" t="n"/>
      <c r="G62" s="2" t="n"/>
      <c r="H62" s="2" t="n"/>
      <c r="I62" s="2" t="n"/>
      <c r="J62" s="2" t="n"/>
      <c r="K62" s="2" t="n"/>
      <c r="L62" s="2" t="n"/>
      <c r="M62" s="2" t="n"/>
      <c r="N62" s="2" t="n"/>
    </row>
    <row r="63" ht="14.25" customHeight="1" s="46">
      <c r="A63" s="2" t="n"/>
      <c r="B63" s="2" t="n"/>
      <c r="C63" s="2" t="n"/>
      <c r="D63" s="2" t="n"/>
      <c r="E63" s="2" t="n"/>
      <c r="F63" s="2" t="n"/>
      <c r="G63" s="2" t="n"/>
      <c r="H63" s="2" t="n"/>
      <c r="I63" s="2" t="n"/>
      <c r="J63" s="2" t="n"/>
      <c r="K63" s="2" t="n"/>
      <c r="L63" s="2" t="n"/>
      <c r="M63" s="2" t="n"/>
      <c r="N63" s="2" t="n"/>
    </row>
    <row r="64" ht="14.25" customHeight="1" s="46">
      <c r="A64" s="2" t="n"/>
      <c r="B64" s="2" t="n"/>
      <c r="C64" s="2" t="n"/>
      <c r="D64" s="2" t="n"/>
      <c r="E64" s="2" t="n"/>
      <c r="F64" s="2" t="n"/>
      <c r="G64" s="2" t="n"/>
      <c r="H64" s="2" t="n"/>
      <c r="I64" s="2" t="n"/>
      <c r="J64" s="2" t="n"/>
      <c r="K64" s="2" t="n"/>
      <c r="L64" s="2" t="n"/>
      <c r="M64" s="2" t="n"/>
      <c r="N64" s="2" t="n"/>
    </row>
    <row r="65" ht="14.25" customHeight="1" s="46">
      <c r="A65" s="2" t="n"/>
      <c r="B65" s="2" t="n"/>
      <c r="C65" s="2" t="n"/>
      <c r="D65" s="2" t="n"/>
      <c r="E65" s="2" t="n"/>
      <c r="F65" s="2" t="n"/>
      <c r="G65" s="2" t="n"/>
      <c r="H65" s="2" t="n"/>
      <c r="I65" s="2" t="n"/>
      <c r="J65" s="2" t="n"/>
      <c r="K65" s="2" t="n"/>
      <c r="L65" s="2" t="n"/>
      <c r="M65" s="2" t="n"/>
      <c r="N65" s="2" t="n"/>
    </row>
    <row r="66" ht="14.25" customHeight="1" s="46">
      <c r="A66" s="2" t="n"/>
      <c r="B66" s="2" t="n"/>
      <c r="C66" s="2" t="n"/>
      <c r="D66" s="2" t="n"/>
      <c r="E66" s="2" t="n"/>
      <c r="F66" s="2" t="n"/>
      <c r="G66" s="2" t="n"/>
      <c r="H66" s="2" t="n"/>
      <c r="I66" s="2" t="n"/>
      <c r="J66" s="2" t="n"/>
      <c r="K66" s="2" t="n"/>
      <c r="L66" s="2" t="n"/>
      <c r="M66" s="2" t="n"/>
      <c r="N66" s="2" t="n"/>
    </row>
    <row r="67" ht="14.25" customHeight="1" s="46">
      <c r="A67" s="2" t="n"/>
      <c r="B67" s="2" t="n"/>
      <c r="C67" s="2" t="n"/>
      <c r="D67" s="2" t="n"/>
      <c r="E67" s="2" t="n"/>
      <c r="F67" s="2" t="n"/>
      <c r="G67" s="2" t="n"/>
      <c r="H67" s="2" t="n"/>
      <c r="I67" s="2" t="n"/>
      <c r="J67" s="2" t="n"/>
      <c r="K67" s="2" t="n"/>
      <c r="L67" s="2" t="n"/>
      <c r="M67" s="2" t="n"/>
      <c r="N67" s="2" t="n"/>
    </row>
    <row r="68" ht="14.25" customHeight="1" s="46">
      <c r="A68" s="2" t="n"/>
      <c r="B68" s="2" t="n"/>
      <c r="C68" s="2" t="n"/>
      <c r="D68" s="2" t="n"/>
      <c r="E68" s="2" t="n"/>
      <c r="F68" s="2" t="n"/>
      <c r="G68" s="2" t="n"/>
      <c r="H68" s="2" t="n"/>
      <c r="I68" s="2" t="n"/>
      <c r="J68" s="2" t="n"/>
      <c r="K68" s="2" t="n"/>
      <c r="L68" s="2" t="n"/>
      <c r="M68" s="2" t="n"/>
      <c r="N68" s="2" t="n"/>
    </row>
    <row r="69" ht="14.25" customHeight="1" s="46">
      <c r="A69" s="2" t="n"/>
      <c r="B69" s="2" t="n"/>
      <c r="C69" s="2" t="n"/>
      <c r="D69" s="2" t="n"/>
      <c r="E69" s="2" t="n"/>
      <c r="F69" s="2" t="n"/>
      <c r="G69" s="2" t="n"/>
      <c r="H69" s="2" t="n"/>
      <c r="I69" s="2" t="n"/>
      <c r="J69" s="2" t="n"/>
      <c r="K69" s="2" t="n"/>
      <c r="L69" s="2" t="n"/>
      <c r="M69" s="2" t="n"/>
      <c r="N69" s="2" t="n"/>
    </row>
    <row r="70" ht="14.25" customHeight="1" s="46">
      <c r="A70" s="2" t="n"/>
      <c r="B70" s="2" t="n"/>
      <c r="C70" s="2" t="n"/>
      <c r="D70" s="2" t="n"/>
      <c r="E70" s="2" t="n"/>
      <c r="F70" s="2" t="n"/>
      <c r="G70" s="2" t="n"/>
      <c r="H70" s="2" t="n"/>
      <c r="I70" s="2" t="n"/>
      <c r="J70" s="2" t="n"/>
      <c r="K70" s="2" t="n"/>
      <c r="L70" s="2" t="n"/>
      <c r="M70" s="2" t="n"/>
      <c r="N70" s="2" t="n"/>
    </row>
    <row r="71" ht="14.25" customHeight="1" s="46">
      <c r="A71" s="2" t="n"/>
      <c r="B71" s="2" t="n"/>
      <c r="C71" s="2" t="n"/>
      <c r="D71" s="2" t="n"/>
      <c r="E71" s="2" t="n"/>
      <c r="F71" s="2" t="n"/>
      <c r="G71" s="2" t="n"/>
      <c r="H71" s="2" t="n"/>
      <c r="I71" s="2" t="n"/>
      <c r="J71" s="2" t="n"/>
      <c r="K71" s="2" t="n"/>
      <c r="L71" s="2" t="n"/>
      <c r="M71" s="2" t="n"/>
      <c r="N71" s="2" t="n"/>
    </row>
    <row r="72" ht="14.25" customHeight="1" s="46">
      <c r="A72" s="2" t="n"/>
      <c r="B72" s="2" t="n"/>
      <c r="C72" s="2" t="n"/>
      <c r="D72" s="2" t="n"/>
      <c r="E72" s="2" t="n"/>
      <c r="F72" s="2" t="n"/>
      <c r="G72" s="2" t="n"/>
      <c r="H72" s="2" t="n"/>
      <c r="I72" s="2" t="n"/>
      <c r="J72" s="2" t="n"/>
      <c r="K72" s="2" t="n"/>
      <c r="L72" s="2" t="n"/>
      <c r="M72" s="2" t="n"/>
      <c r="N72" s="2" t="n"/>
    </row>
    <row r="73" ht="14.25" customHeight="1" s="46">
      <c r="A73" s="2" t="n"/>
      <c r="B73" s="2" t="n"/>
      <c r="C73" s="2" t="n"/>
      <c r="D73" s="2" t="n"/>
      <c r="E73" s="2" t="n"/>
      <c r="F73" s="2" t="n"/>
      <c r="G73" s="2" t="n"/>
      <c r="H73" s="2" t="n"/>
      <c r="I73" s="2" t="n"/>
      <c r="J73" s="2" t="n"/>
      <c r="K73" s="2" t="n"/>
      <c r="L73" s="2" t="n"/>
      <c r="M73" s="2" t="n"/>
      <c r="N73" s="2" t="n"/>
    </row>
    <row r="74" ht="14.25" customHeight="1" s="46">
      <c r="A74" s="2" t="n"/>
      <c r="B74" s="2" t="n"/>
      <c r="C74" s="2" t="n"/>
      <c r="D74" s="2" t="n"/>
      <c r="E74" s="2" t="n"/>
      <c r="F74" s="2" t="n"/>
      <c r="G74" s="2" t="n"/>
      <c r="H74" s="2" t="n"/>
      <c r="I74" s="2" t="n"/>
      <c r="J74" s="2" t="n"/>
      <c r="K74" s="2" t="n"/>
      <c r="L74" s="2" t="n"/>
      <c r="M74" s="2" t="n"/>
      <c r="N74" s="2" t="n"/>
    </row>
    <row r="75" ht="14.25" customHeight="1" s="46">
      <c r="A75" s="2" t="n"/>
      <c r="B75" s="2" t="n"/>
      <c r="C75" s="2" t="n"/>
      <c r="D75" s="2" t="n"/>
      <c r="E75" s="2" t="n"/>
      <c r="F75" s="2" t="n"/>
      <c r="G75" s="2" t="n"/>
      <c r="H75" s="2" t="n"/>
      <c r="I75" s="2" t="n"/>
      <c r="J75" s="2" t="n"/>
      <c r="K75" s="2" t="n"/>
      <c r="L75" s="2" t="n"/>
      <c r="M75" s="2" t="n"/>
      <c r="N75" s="2" t="n"/>
    </row>
    <row r="76" ht="14.25" customHeight="1" s="46">
      <c r="A76" s="2" t="n"/>
      <c r="B76" s="2" t="n"/>
      <c r="C76" s="2" t="n"/>
      <c r="D76" s="2" t="n"/>
      <c r="E76" s="2" t="n"/>
      <c r="F76" s="2" t="n"/>
      <c r="G76" s="2" t="n"/>
      <c r="H76" s="2" t="n"/>
      <c r="I76" s="2" t="n"/>
      <c r="J76" s="2" t="n"/>
      <c r="K76" s="2" t="n"/>
      <c r="L76" s="2" t="n"/>
      <c r="M76" s="2" t="n"/>
      <c r="N76" s="2" t="n"/>
    </row>
    <row r="77" ht="14.25" customHeight="1" s="46">
      <c r="A77" s="2" t="n"/>
      <c r="B77" s="2" t="n"/>
      <c r="C77" s="2" t="n"/>
      <c r="D77" s="2" t="n"/>
      <c r="E77" s="2" t="n"/>
      <c r="F77" s="2" t="n"/>
      <c r="G77" s="2" t="n"/>
      <c r="H77" s="2" t="n"/>
      <c r="I77" s="2" t="n"/>
      <c r="J77" s="2" t="n"/>
      <c r="K77" s="2" t="n"/>
      <c r="L77" s="2" t="n"/>
      <c r="M77" s="2" t="n"/>
      <c r="N77" s="2" t="n"/>
    </row>
    <row r="78" ht="14.25" customHeight="1" s="46">
      <c r="A78" s="2" t="n"/>
      <c r="B78" s="2" t="n"/>
      <c r="C78" s="2" t="n"/>
      <c r="D78" s="2" t="n"/>
      <c r="E78" s="2" t="n"/>
      <c r="F78" s="2" t="n"/>
      <c r="G78" s="2" t="n"/>
      <c r="H78" s="2" t="n"/>
      <c r="I78" s="2" t="n"/>
      <c r="J78" s="2" t="n"/>
      <c r="K78" s="2" t="n"/>
      <c r="L78" s="2" t="n"/>
      <c r="M78" s="2" t="n"/>
      <c r="N78" s="2" t="n"/>
    </row>
    <row r="79" ht="14.25" customHeight="1" s="46">
      <c r="A79" s="2" t="n"/>
      <c r="B79" s="2" t="n"/>
      <c r="C79" s="2" t="n"/>
      <c r="D79" s="2" t="n"/>
      <c r="E79" s="2" t="n"/>
      <c r="F79" s="2" t="n"/>
      <c r="G79" s="2" t="n"/>
      <c r="H79" s="2" t="n"/>
      <c r="I79" s="2" t="n"/>
      <c r="J79" s="2" t="n"/>
      <c r="K79" s="2" t="n"/>
      <c r="L79" s="2" t="n"/>
      <c r="M79" s="2" t="n"/>
      <c r="N79" s="2" t="n"/>
    </row>
    <row r="80" ht="14.25" customHeight="1" s="46">
      <c r="A80" s="2" t="n"/>
      <c r="B80" s="2" t="n"/>
      <c r="C80" s="2" t="n"/>
      <c r="D80" s="2" t="n"/>
      <c r="E80" s="2" t="n"/>
      <c r="F80" s="2" t="n"/>
      <c r="G80" s="2" t="n"/>
      <c r="H80" s="2" t="n"/>
      <c r="I80" s="2" t="n"/>
      <c r="J80" s="2" t="n"/>
      <c r="K80" s="2" t="n"/>
      <c r="L80" s="2" t="n"/>
      <c r="M80" s="2" t="n"/>
      <c r="N80" s="2" t="n"/>
    </row>
    <row r="81" ht="14.25" customHeight="1" s="46">
      <c r="A81" s="2" t="n"/>
      <c r="B81" s="2" t="n"/>
      <c r="C81" s="2" t="n"/>
      <c r="D81" s="2" t="n"/>
      <c r="E81" s="2" t="n"/>
      <c r="F81" s="2" t="n"/>
      <c r="G81" s="2" t="n"/>
      <c r="H81" s="2" t="n"/>
      <c r="I81" s="2" t="n"/>
      <c r="J81" s="2" t="n"/>
      <c r="K81" s="2" t="n"/>
      <c r="L81" s="2" t="n"/>
      <c r="M81" s="2" t="n"/>
      <c r="N81" s="2" t="n"/>
    </row>
    <row r="82" ht="14.25" customHeight="1" s="46">
      <c r="A82" s="2" t="n"/>
      <c r="B82" s="2" t="n"/>
      <c r="C82" s="2" t="n"/>
      <c r="D82" s="2" t="n"/>
      <c r="E82" s="2" t="n"/>
      <c r="F82" s="2" t="n"/>
      <c r="G82" s="2" t="n"/>
      <c r="H82" s="2" t="n"/>
      <c r="I82" s="2" t="n"/>
      <c r="J82" s="2" t="n"/>
      <c r="K82" s="2" t="n"/>
      <c r="L82" s="2" t="n"/>
      <c r="M82" s="2" t="n"/>
      <c r="N82" s="2" t="n"/>
    </row>
    <row r="83" ht="14.25" customHeight="1" s="46">
      <c r="A83" s="2" t="n"/>
      <c r="B83" s="2" t="n"/>
      <c r="C83" s="2" t="n"/>
      <c r="D83" s="2" t="n"/>
      <c r="E83" s="2" t="n"/>
      <c r="F83" s="2" t="n"/>
      <c r="G83" s="2" t="n"/>
      <c r="H83" s="2" t="n"/>
      <c r="I83" s="2" t="n"/>
      <c r="J83" s="2" t="n"/>
      <c r="K83" s="2" t="n"/>
      <c r="L83" s="2" t="n"/>
      <c r="M83" s="2" t="n"/>
      <c r="N83" s="2" t="n"/>
    </row>
    <row r="84" ht="14.25" customHeight="1" s="46">
      <c r="A84" s="2" t="n"/>
      <c r="B84" s="2" t="n"/>
      <c r="C84" s="2" t="n"/>
      <c r="D84" s="2" t="n"/>
      <c r="E84" s="2" t="n"/>
      <c r="F84" s="2" t="n"/>
      <c r="G84" s="2" t="n"/>
      <c r="H84" s="2" t="n"/>
      <c r="I84" s="2" t="n"/>
      <c r="J84" s="2" t="n"/>
      <c r="K84" s="2" t="n"/>
      <c r="L84" s="2" t="n"/>
      <c r="M84" s="2" t="n"/>
      <c r="N84" s="2" t="n"/>
    </row>
    <row r="85" ht="14.25" customHeight="1" s="46">
      <c r="A85" s="2" t="n"/>
      <c r="B85" s="2" t="n"/>
      <c r="C85" s="2" t="n"/>
      <c r="D85" s="2" t="n"/>
      <c r="E85" s="2" t="n"/>
      <c r="F85" s="2" t="n"/>
      <c r="G85" s="2" t="n"/>
      <c r="H85" s="2" t="n"/>
      <c r="I85" s="2" t="n"/>
      <c r="J85" s="2" t="n"/>
      <c r="K85" s="2" t="n"/>
      <c r="L85" s="2" t="n"/>
      <c r="M85" s="2" t="n"/>
      <c r="N85" s="2" t="n"/>
    </row>
    <row r="86" ht="14.25" customHeight="1" s="46">
      <c r="A86" s="2" t="n"/>
      <c r="B86" s="2" t="n"/>
      <c r="C86" s="2" t="n"/>
      <c r="D86" s="2" t="n"/>
      <c r="E86" s="2" t="n"/>
      <c r="F86" s="2" t="n"/>
      <c r="G86" s="2" t="n"/>
      <c r="H86" s="2" t="n"/>
      <c r="I86" s="2" t="n"/>
      <c r="J86" s="2" t="n"/>
      <c r="K86" s="2" t="n"/>
      <c r="L86" s="2" t="n"/>
      <c r="M86" s="2" t="n"/>
      <c r="N86" s="2" t="n"/>
    </row>
    <row r="87" ht="14.25" customHeight="1" s="46">
      <c r="A87" s="2" t="n"/>
      <c r="B87" s="2" t="n"/>
      <c r="C87" s="2" t="n"/>
      <c r="D87" s="2" t="n"/>
      <c r="E87" s="2" t="n"/>
      <c r="F87" s="2" t="n"/>
      <c r="G87" s="2" t="n"/>
      <c r="H87" s="2" t="n"/>
      <c r="I87" s="2" t="n"/>
      <c r="J87" s="2" t="n"/>
      <c r="K87" s="2" t="n"/>
      <c r="L87" s="2" t="n"/>
      <c r="M87" s="2" t="n"/>
      <c r="N87" s="2" t="n"/>
    </row>
    <row r="88" ht="14.25" customHeight="1" s="46">
      <c r="A88" s="2" t="n"/>
      <c r="B88" s="2" t="n"/>
      <c r="C88" s="2" t="n"/>
      <c r="D88" s="2" t="n"/>
      <c r="E88" s="2" t="n"/>
      <c r="F88" s="2" t="n"/>
      <c r="G88" s="2" t="n"/>
      <c r="H88" s="2" t="n"/>
      <c r="I88" s="2" t="n"/>
      <c r="J88" s="2" t="n"/>
      <c r="K88" s="2" t="n"/>
      <c r="L88" s="2" t="n"/>
      <c r="M88" s="2" t="n"/>
      <c r="N88" s="2" t="n"/>
    </row>
    <row r="89" ht="14.25" customHeight="1" s="46">
      <c r="A89" s="2" t="n"/>
      <c r="B89" s="2" t="n"/>
      <c r="C89" s="2" t="n"/>
      <c r="D89" s="2" t="n"/>
      <c r="E89" s="2" t="n"/>
      <c r="F89" s="2" t="n"/>
      <c r="G89" s="2" t="n"/>
      <c r="H89" s="2" t="n"/>
      <c r="I89" s="2" t="n"/>
      <c r="J89" s="2" t="n"/>
      <c r="K89" s="2" t="n"/>
      <c r="L89" s="2" t="n"/>
      <c r="M89" s="2" t="n"/>
      <c r="N89" s="2" t="n"/>
    </row>
    <row r="90" ht="14.25" customHeight="1" s="46">
      <c r="A90" s="2" t="n"/>
      <c r="B90" s="2" t="n"/>
      <c r="C90" s="2" t="n"/>
      <c r="D90" s="2" t="n"/>
      <c r="E90" s="2" t="n"/>
      <c r="F90" s="2" t="n"/>
      <c r="G90" s="2" t="n"/>
      <c r="H90" s="2" t="n"/>
      <c r="I90" s="2" t="n"/>
      <c r="J90" s="2" t="n"/>
      <c r="K90" s="2" t="n"/>
      <c r="L90" s="2" t="n"/>
      <c r="M90" s="2" t="n"/>
      <c r="N90" s="2" t="n"/>
    </row>
    <row r="91" ht="14.25" customHeight="1" s="46">
      <c r="A91" s="2" t="n"/>
      <c r="B91" s="2" t="n"/>
      <c r="C91" s="2" t="n"/>
      <c r="D91" s="2" t="n"/>
      <c r="E91" s="2" t="n"/>
      <c r="F91" s="2" t="n"/>
      <c r="G91" s="2" t="n"/>
      <c r="H91" s="2" t="n"/>
      <c r="I91" s="2" t="n"/>
      <c r="J91" s="2" t="n"/>
      <c r="K91" s="2" t="n"/>
      <c r="L91" s="2" t="n"/>
      <c r="M91" s="2" t="n"/>
      <c r="N91" s="2" t="n"/>
    </row>
    <row r="92" ht="14.25" customHeight="1" s="46">
      <c r="A92" s="2" t="n"/>
      <c r="B92" s="2" t="n"/>
      <c r="C92" s="2" t="n"/>
      <c r="D92" s="2" t="n"/>
      <c r="E92" s="2" t="n"/>
      <c r="F92" s="2" t="n"/>
      <c r="G92" s="2" t="n"/>
      <c r="H92" s="2" t="n"/>
      <c r="I92" s="2" t="n"/>
      <c r="J92" s="2" t="n"/>
      <c r="K92" s="2" t="n"/>
      <c r="L92" s="2" t="n"/>
      <c r="M92" s="2" t="n"/>
      <c r="N92" s="2" t="n"/>
    </row>
    <row r="93" ht="14.25" customHeight="1" s="46">
      <c r="A93" s="2" t="n"/>
      <c r="B93" s="2" t="n"/>
      <c r="C93" s="2" t="n"/>
      <c r="D93" s="2" t="n"/>
      <c r="E93" s="2" t="n"/>
      <c r="F93" s="2" t="n"/>
      <c r="G93" s="2" t="n"/>
      <c r="H93" s="2" t="n"/>
      <c r="I93" s="2" t="n"/>
      <c r="J93" s="2" t="n"/>
      <c r="K93" s="2" t="n"/>
      <c r="L93" s="2" t="n"/>
      <c r="M93" s="2" t="n"/>
      <c r="N93" s="2" t="n"/>
    </row>
    <row r="94" ht="14.25" customHeight="1" s="46">
      <c r="A94" s="2" t="n"/>
      <c r="B94" s="2" t="n"/>
      <c r="C94" s="2" t="n"/>
      <c r="D94" s="2" t="n"/>
      <c r="E94" s="2" t="n"/>
      <c r="F94" s="2" t="n"/>
      <c r="G94" s="2" t="n"/>
      <c r="H94" s="2" t="n"/>
      <c r="I94" s="2" t="n"/>
      <c r="J94" s="2" t="n"/>
      <c r="K94" s="2" t="n"/>
      <c r="L94" s="2" t="n"/>
      <c r="M94" s="2" t="n"/>
      <c r="N94" s="2" t="n"/>
    </row>
    <row r="95" ht="14.25" customHeight="1" s="46">
      <c r="A95" s="2" t="n"/>
      <c r="B95" s="2" t="n"/>
      <c r="C95" s="2" t="n"/>
      <c r="D95" s="2" t="n"/>
      <c r="E95" s="2" t="n"/>
      <c r="F95" s="2" t="n"/>
      <c r="G95" s="2" t="n"/>
      <c r="H95" s="2" t="n"/>
      <c r="I95" s="2" t="n"/>
      <c r="J95" s="2" t="n"/>
      <c r="K95" s="2" t="n"/>
      <c r="L95" s="2" t="n"/>
      <c r="M95" s="2" t="n"/>
      <c r="N95" s="2" t="n"/>
    </row>
    <row r="96" ht="14.25" customHeight="1" s="46">
      <c r="A96" s="2" t="n"/>
      <c r="B96" s="2" t="n"/>
      <c r="C96" s="2" t="n"/>
      <c r="D96" s="2" t="n"/>
      <c r="E96" s="2" t="n"/>
      <c r="F96" s="2" t="n"/>
      <c r="G96" s="2" t="n"/>
      <c r="H96" s="2" t="n"/>
      <c r="I96" s="2" t="n"/>
      <c r="J96" s="2" t="n"/>
      <c r="K96" s="2" t="n"/>
      <c r="L96" s="2" t="n"/>
      <c r="M96" s="2" t="n"/>
      <c r="N96" s="2" t="n"/>
    </row>
    <row r="97" ht="14.25" customHeight="1" s="46">
      <c r="A97" s="2" t="n"/>
      <c r="B97" s="2" t="n"/>
      <c r="C97" s="2" t="n"/>
      <c r="D97" s="2" t="n"/>
      <c r="E97" s="2" t="n"/>
      <c r="F97" s="2" t="n"/>
      <c r="G97" s="2" t="n"/>
      <c r="H97" s="2" t="n"/>
      <c r="I97" s="2" t="n"/>
      <c r="J97" s="2" t="n"/>
      <c r="K97" s="2" t="n"/>
      <c r="L97" s="2" t="n"/>
      <c r="M97" s="2" t="n"/>
      <c r="N97" s="2" t="n"/>
    </row>
    <row r="98" ht="14.25" customHeight="1" s="46">
      <c r="A98" s="2" t="n"/>
      <c r="B98" s="2" t="n"/>
      <c r="C98" s="2" t="n"/>
      <c r="D98" s="2" t="n"/>
      <c r="E98" s="2" t="n"/>
      <c r="F98" s="2" t="n"/>
      <c r="G98" s="2" t="n"/>
      <c r="H98" s="2" t="n"/>
      <c r="I98" s="2" t="n"/>
      <c r="J98" s="2" t="n"/>
      <c r="K98" s="2" t="n"/>
      <c r="L98" s="2" t="n"/>
      <c r="M98" s="2" t="n"/>
      <c r="N98" s="2" t="n"/>
    </row>
    <row r="99" ht="14.25" customHeight="1" s="46">
      <c r="A99" s="2" t="n"/>
      <c r="B99" s="2" t="n"/>
      <c r="C99" s="2" t="n"/>
      <c r="D99" s="2" t="n"/>
      <c r="E99" s="2" t="n"/>
      <c r="F99" s="2" t="n"/>
      <c r="G99" s="2" t="n"/>
      <c r="H99" s="2" t="n"/>
      <c r="I99" s="2" t="n"/>
      <c r="J99" s="2" t="n"/>
      <c r="K99" s="2" t="n"/>
      <c r="L99" s="2" t="n"/>
      <c r="M99" s="2" t="n"/>
      <c r="N99" s="2" t="n"/>
    </row>
    <row r="100" ht="14.25" customHeight="1" s="46">
      <c r="A100" s="2" t="n"/>
      <c r="B100" s="2" t="n"/>
      <c r="C100" s="2" t="n"/>
      <c r="D100" s="2" t="n"/>
      <c r="E100" s="2" t="n"/>
      <c r="F100" s="2" t="n"/>
      <c r="G100" s="2" t="n"/>
      <c r="H100" s="2" t="n"/>
      <c r="I100" s="2" t="n"/>
      <c r="J100" s="2" t="n"/>
      <c r="K100" s="2" t="n"/>
      <c r="L100" s="2" t="n"/>
      <c r="M100" s="2" t="n"/>
      <c r="N100" s="2" t="n"/>
    </row>
    <row r="101" ht="14.25" customHeight="1" s="46">
      <c r="A101" s="2" t="n"/>
      <c r="B101" s="2" t="n"/>
      <c r="C101" s="2" t="n"/>
      <c r="D101" s="2" t="n"/>
      <c r="E101" s="2" t="n"/>
      <c r="F101" s="2" t="n"/>
      <c r="G101" s="2" t="n"/>
      <c r="H101" s="2" t="n"/>
      <c r="I101" s="2" t="n"/>
      <c r="J101" s="2" t="n"/>
      <c r="K101" s="2" t="n"/>
      <c r="L101" s="2" t="n"/>
      <c r="M101" s="2" t="n"/>
      <c r="N101" s="2" t="n"/>
    </row>
    <row r="102" ht="14.25" customHeight="1" s="46">
      <c r="A102" s="2" t="n"/>
      <c r="B102" s="2" t="n"/>
      <c r="C102" s="2" t="n"/>
      <c r="D102" s="2" t="n"/>
      <c r="E102" s="2" t="n"/>
      <c r="F102" s="2" t="n"/>
      <c r="G102" s="2" t="n"/>
      <c r="H102" s="2" t="n"/>
      <c r="I102" s="2" t="n"/>
      <c r="J102" s="2" t="n"/>
      <c r="K102" s="2" t="n"/>
      <c r="L102" s="2" t="n"/>
      <c r="M102" s="2" t="n"/>
      <c r="N102" s="2" t="n"/>
    </row>
    <row r="103" ht="14.25" customHeight="1" s="46">
      <c r="A103" s="2" t="n"/>
      <c r="B103" s="2" t="n"/>
      <c r="C103" s="2" t="n"/>
      <c r="D103" s="2" t="n"/>
      <c r="E103" s="2" t="n"/>
      <c r="F103" s="2" t="n"/>
      <c r="G103" s="2" t="n"/>
      <c r="H103" s="2" t="n"/>
      <c r="I103" s="2" t="n"/>
      <c r="J103" s="2" t="n"/>
      <c r="K103" s="2" t="n"/>
      <c r="L103" s="2" t="n"/>
      <c r="M103" s="2" t="n"/>
      <c r="N103" s="2" t="n"/>
    </row>
    <row r="104" ht="14.25" customHeight="1" s="46">
      <c r="A104" s="2" t="n"/>
      <c r="B104" s="2" t="n"/>
      <c r="C104" s="2" t="n"/>
      <c r="D104" s="2" t="n"/>
      <c r="E104" s="2" t="n"/>
      <c r="F104" s="2" t="n"/>
      <c r="G104" s="2" t="n"/>
      <c r="H104" s="2" t="n"/>
      <c r="I104" s="2" t="n"/>
      <c r="J104" s="2" t="n"/>
      <c r="K104" s="2" t="n"/>
      <c r="L104" s="2" t="n"/>
      <c r="M104" s="2" t="n"/>
      <c r="N104" s="2" t="n"/>
    </row>
    <row r="105" ht="14.25" customHeight="1" s="46">
      <c r="A105" s="2" t="n"/>
      <c r="B105" s="2" t="n"/>
      <c r="C105" s="2" t="n"/>
      <c r="D105" s="2" t="n"/>
      <c r="E105" s="2" t="n"/>
      <c r="F105" s="2" t="n"/>
      <c r="G105" s="2" t="n"/>
      <c r="H105" s="2" t="n"/>
      <c r="I105" s="2" t="n"/>
      <c r="J105" s="2" t="n"/>
      <c r="K105" s="2" t="n"/>
      <c r="L105" s="2" t="n"/>
      <c r="M105" s="2" t="n"/>
      <c r="N105" s="2" t="n"/>
    </row>
    <row r="106" ht="14.25" customHeight="1" s="46">
      <c r="A106" s="2" t="n"/>
      <c r="B106" s="2" t="n"/>
      <c r="C106" s="2" t="n"/>
      <c r="D106" s="2" t="n"/>
      <c r="E106" s="2" t="n"/>
      <c r="F106" s="2" t="n"/>
      <c r="G106" s="2" t="n"/>
      <c r="H106" s="2" t="n"/>
      <c r="I106" s="2" t="n"/>
      <c r="J106" s="2" t="n"/>
      <c r="K106" s="2" t="n"/>
      <c r="L106" s="2" t="n"/>
      <c r="M106" s="2" t="n"/>
      <c r="N106" s="2" t="n"/>
    </row>
    <row r="107" ht="14.25" customHeight="1" s="46">
      <c r="A107" s="2" t="n"/>
      <c r="B107" s="2" t="n"/>
      <c r="C107" s="2" t="n"/>
      <c r="D107" s="2" t="n"/>
      <c r="E107" s="2" t="n"/>
      <c r="F107" s="2" t="n"/>
      <c r="G107" s="2" t="n"/>
      <c r="H107" s="2" t="n"/>
      <c r="I107" s="2" t="n"/>
      <c r="J107" s="2" t="n"/>
      <c r="K107" s="2" t="n"/>
      <c r="L107" s="2" t="n"/>
      <c r="M107" s="2" t="n"/>
      <c r="N107" s="2" t="n"/>
    </row>
    <row r="108" ht="14.25" customHeight="1" s="46">
      <c r="A108" s="2" t="n"/>
      <c r="B108" s="2" t="n"/>
      <c r="C108" s="2" t="n"/>
      <c r="D108" s="2" t="n"/>
      <c r="E108" s="2" t="n"/>
      <c r="F108" s="2" t="n"/>
      <c r="G108" s="2" t="n"/>
      <c r="H108" s="2" t="n"/>
      <c r="I108" s="2" t="n"/>
      <c r="J108" s="2" t="n"/>
      <c r="K108" s="2" t="n"/>
      <c r="L108" s="2" t="n"/>
      <c r="M108" s="2" t="n"/>
      <c r="N108" s="2" t="n"/>
    </row>
    <row r="109" ht="14.25" customHeight="1" s="46">
      <c r="A109" s="2" t="n"/>
      <c r="B109" s="2" t="n"/>
      <c r="C109" s="2" t="n"/>
      <c r="D109" s="2" t="n"/>
      <c r="E109" s="2" t="n"/>
      <c r="F109" s="2" t="n"/>
      <c r="G109" s="2" t="n"/>
      <c r="H109" s="2" t="n"/>
      <c r="I109" s="2" t="n"/>
      <c r="J109" s="2" t="n"/>
      <c r="K109" s="2" t="n"/>
      <c r="L109" s="2" t="n"/>
      <c r="M109" s="2" t="n"/>
      <c r="N109" s="2" t="n"/>
    </row>
    <row r="110" ht="14.25" customHeight="1" s="46">
      <c r="A110" s="2" t="n"/>
      <c r="B110" s="2" t="n"/>
      <c r="C110" s="2" t="n"/>
      <c r="D110" s="2" t="n"/>
      <c r="E110" s="2" t="n"/>
      <c r="F110" s="2" t="n"/>
      <c r="G110" s="2" t="n"/>
      <c r="H110" s="2" t="n"/>
      <c r="I110" s="2" t="n"/>
      <c r="J110" s="2" t="n"/>
      <c r="K110" s="2" t="n"/>
      <c r="L110" s="2" t="n"/>
      <c r="M110" s="2" t="n"/>
      <c r="N110" s="2" t="n"/>
    </row>
    <row r="111" ht="14.25" customHeight="1" s="46">
      <c r="A111" s="2" t="n"/>
      <c r="B111" s="2" t="n"/>
      <c r="C111" s="2" t="n"/>
      <c r="D111" s="2" t="n"/>
      <c r="E111" s="2" t="n"/>
      <c r="F111" s="2" t="n"/>
      <c r="G111" s="2" t="n"/>
      <c r="H111" s="2" t="n"/>
      <c r="I111" s="2" t="n"/>
      <c r="J111" s="2" t="n"/>
      <c r="K111" s="2" t="n"/>
      <c r="L111" s="2" t="n"/>
      <c r="M111" s="2" t="n"/>
      <c r="N111" s="2" t="n"/>
    </row>
    <row r="112" ht="14.25" customHeight="1" s="46">
      <c r="A112" s="2" t="n"/>
      <c r="B112" s="2" t="n"/>
      <c r="C112" s="2" t="n"/>
      <c r="D112" s="2" t="n"/>
      <c r="E112" s="2" t="n"/>
      <c r="F112" s="2" t="n"/>
      <c r="G112" s="2" t="n"/>
      <c r="H112" s="2" t="n"/>
      <c r="I112" s="2" t="n"/>
      <c r="J112" s="2" t="n"/>
      <c r="K112" s="2" t="n"/>
      <c r="L112" s="2" t="n"/>
      <c r="M112" s="2" t="n"/>
      <c r="N112" s="2" t="n"/>
    </row>
    <row r="113" ht="14.25" customHeight="1" s="46">
      <c r="A113" s="2" t="n"/>
      <c r="B113" s="2" t="n"/>
      <c r="C113" s="2" t="n"/>
      <c r="D113" s="2" t="n"/>
      <c r="E113" s="2" t="n"/>
      <c r="F113" s="2" t="n"/>
      <c r="G113" s="2" t="n"/>
      <c r="H113" s="2" t="n"/>
      <c r="I113" s="2" t="n"/>
      <c r="J113" s="2" t="n"/>
      <c r="K113" s="2" t="n"/>
      <c r="L113" s="2" t="n"/>
      <c r="M113" s="2" t="n"/>
      <c r="N113" s="2" t="n"/>
    </row>
    <row r="114" ht="14.25" customHeight="1" s="46">
      <c r="A114" s="2" t="n"/>
      <c r="B114" s="2" t="n"/>
      <c r="C114" s="2" t="n"/>
      <c r="D114" s="2" t="n"/>
      <c r="E114" s="2" t="n"/>
      <c r="F114" s="2" t="n"/>
      <c r="G114" s="2" t="n"/>
      <c r="H114" s="2" t="n"/>
      <c r="I114" s="2" t="n"/>
      <c r="J114" s="2" t="n"/>
      <c r="K114" s="2" t="n"/>
      <c r="L114" s="2" t="n"/>
      <c r="M114" s="2" t="n"/>
      <c r="N114" s="2" t="n"/>
    </row>
    <row r="115" ht="14.25" customHeight="1" s="46">
      <c r="A115" s="2" t="n"/>
      <c r="B115" s="2" t="n"/>
      <c r="C115" s="2" t="n"/>
      <c r="D115" s="2" t="n"/>
      <c r="E115" s="2" t="n"/>
      <c r="F115" s="2" t="n"/>
      <c r="G115" s="2" t="n"/>
      <c r="H115" s="2" t="n"/>
      <c r="I115" s="2" t="n"/>
      <c r="J115" s="2" t="n"/>
      <c r="K115" s="2" t="n"/>
      <c r="L115" s="2" t="n"/>
      <c r="M115" s="2" t="n"/>
      <c r="N115" s="2" t="n"/>
    </row>
    <row r="116" ht="14.25" customHeight="1" s="46">
      <c r="A116" s="2" t="n"/>
      <c r="B116" s="2" t="n"/>
      <c r="C116" s="2" t="n"/>
      <c r="D116" s="2" t="n"/>
      <c r="E116" s="2" t="n"/>
      <c r="F116" s="2" t="n"/>
      <c r="G116" s="2" t="n"/>
      <c r="H116" s="2" t="n"/>
      <c r="I116" s="2" t="n"/>
      <c r="J116" s="2" t="n"/>
      <c r="K116" s="2" t="n"/>
      <c r="L116" s="2" t="n"/>
      <c r="M116" s="2" t="n"/>
      <c r="N116" s="2" t="n"/>
    </row>
    <row r="117" ht="14.25" customHeight="1" s="46">
      <c r="A117" s="2" t="n"/>
      <c r="B117" s="2" t="n"/>
      <c r="C117" s="2" t="n"/>
      <c r="D117" s="2" t="n"/>
      <c r="E117" s="2" t="n"/>
      <c r="F117" s="2" t="n"/>
      <c r="G117" s="2" t="n"/>
      <c r="H117" s="2" t="n"/>
      <c r="I117" s="2" t="n"/>
      <c r="J117" s="2" t="n"/>
      <c r="K117" s="2" t="n"/>
      <c r="L117" s="2" t="n"/>
      <c r="M117" s="2" t="n"/>
      <c r="N117" s="2" t="n"/>
    </row>
    <row r="118" ht="14.25" customHeight="1" s="46">
      <c r="A118" s="2" t="n"/>
      <c r="B118" s="2" t="n"/>
      <c r="C118" s="2" t="n"/>
      <c r="D118" s="2" t="n"/>
      <c r="E118" s="2" t="n"/>
      <c r="F118" s="2" t="n"/>
      <c r="G118" s="2" t="n"/>
      <c r="H118" s="2" t="n"/>
      <c r="I118" s="2" t="n"/>
      <c r="J118" s="2" t="n"/>
      <c r="K118" s="2" t="n"/>
      <c r="L118" s="2" t="n"/>
      <c r="M118" s="2" t="n"/>
      <c r="N118" s="2" t="n"/>
    </row>
    <row r="119" ht="14.25" customHeight="1" s="46">
      <c r="A119" s="2" t="n"/>
      <c r="B119" s="2" t="n"/>
      <c r="C119" s="2" t="n"/>
      <c r="D119" s="2" t="n"/>
      <c r="E119" s="2" t="n"/>
      <c r="F119" s="2" t="n"/>
      <c r="G119" s="2" t="n"/>
      <c r="H119" s="2" t="n"/>
      <c r="I119" s="2" t="n"/>
      <c r="J119" s="2" t="n"/>
      <c r="K119" s="2" t="n"/>
      <c r="L119" s="2" t="n"/>
      <c r="M119" s="2" t="n"/>
      <c r="N119" s="2" t="n"/>
    </row>
    <row r="120" ht="14.25" customHeight="1" s="46">
      <c r="A120" s="2" t="n"/>
      <c r="B120" s="2" t="n"/>
      <c r="C120" s="2" t="n"/>
      <c r="D120" s="2" t="n"/>
      <c r="E120" s="2" t="n"/>
      <c r="F120" s="2" t="n"/>
      <c r="G120" s="2" t="n"/>
      <c r="H120" s="2" t="n"/>
      <c r="I120" s="2" t="n"/>
      <c r="J120" s="2" t="n"/>
      <c r="K120" s="2" t="n"/>
      <c r="L120" s="2" t="n"/>
      <c r="M120" s="2" t="n"/>
      <c r="N120" s="2" t="n"/>
    </row>
    <row r="121" ht="14.25" customHeight="1" s="46">
      <c r="A121" s="2" t="n"/>
      <c r="B121" s="2" t="n"/>
      <c r="C121" s="2" t="n"/>
      <c r="D121" s="2" t="n"/>
      <c r="E121" s="2" t="n"/>
      <c r="F121" s="2" t="n"/>
      <c r="G121" s="2" t="n"/>
      <c r="H121" s="2" t="n"/>
      <c r="I121" s="2" t="n"/>
      <c r="J121" s="2" t="n"/>
      <c r="K121" s="2" t="n"/>
      <c r="L121" s="2" t="n"/>
      <c r="M121" s="2" t="n"/>
      <c r="N121" s="2" t="n"/>
    </row>
    <row r="122" ht="14.25" customHeight="1" s="46">
      <c r="A122" s="2" t="n"/>
      <c r="B122" s="2" t="n"/>
      <c r="C122" s="2" t="n"/>
      <c r="D122" s="2" t="n"/>
      <c r="E122" s="2" t="n"/>
      <c r="F122" s="2" t="n"/>
      <c r="G122" s="2" t="n"/>
      <c r="H122" s="2" t="n"/>
      <c r="I122" s="2" t="n"/>
      <c r="J122" s="2" t="n"/>
      <c r="K122" s="2" t="n"/>
      <c r="L122" s="2" t="n"/>
      <c r="M122" s="2" t="n"/>
      <c r="N122" s="2" t="n"/>
    </row>
    <row r="123" ht="14.25" customHeight="1" s="46">
      <c r="A123" s="2" t="n"/>
      <c r="B123" s="2" t="n"/>
      <c r="C123" s="2" t="n"/>
      <c r="D123" s="2" t="n"/>
      <c r="E123" s="2" t="n"/>
      <c r="F123" s="2" t="n"/>
      <c r="G123" s="2" t="n"/>
      <c r="H123" s="2" t="n"/>
      <c r="I123" s="2" t="n"/>
      <c r="J123" s="2" t="n"/>
      <c r="K123" s="2" t="n"/>
      <c r="L123" s="2" t="n"/>
      <c r="M123" s="2" t="n"/>
      <c r="N123" s="2" t="n"/>
    </row>
    <row r="124" ht="14.25" customHeight="1" s="46">
      <c r="A124" s="2" t="n"/>
      <c r="B124" s="2" t="n"/>
      <c r="C124" s="2" t="n"/>
      <c r="D124" s="2" t="n"/>
      <c r="E124" s="2" t="n"/>
      <c r="F124" s="2" t="n"/>
      <c r="G124" s="2" t="n"/>
      <c r="H124" s="2" t="n"/>
      <c r="I124" s="2" t="n"/>
      <c r="J124" s="2" t="n"/>
      <c r="K124" s="2" t="n"/>
      <c r="L124" s="2" t="n"/>
      <c r="M124" s="2" t="n"/>
      <c r="N124" s="2" t="n"/>
    </row>
    <row r="125" ht="14.25" customHeight="1" s="46">
      <c r="A125" s="2" t="n"/>
      <c r="B125" s="2" t="n"/>
      <c r="C125" s="2" t="n"/>
      <c r="D125" s="2" t="n"/>
      <c r="E125" s="2" t="n"/>
      <c r="F125" s="2" t="n"/>
      <c r="G125" s="2" t="n"/>
      <c r="H125" s="2" t="n"/>
      <c r="I125" s="2" t="n"/>
      <c r="J125" s="2" t="n"/>
      <c r="K125" s="2" t="n"/>
      <c r="L125" s="2" t="n"/>
      <c r="M125" s="2" t="n"/>
      <c r="N125" s="2" t="n"/>
    </row>
    <row r="126" ht="14.25" customHeight="1" s="46">
      <c r="A126" s="2" t="n"/>
      <c r="B126" s="2" t="n"/>
      <c r="C126" s="2" t="n"/>
      <c r="D126" s="2" t="n"/>
      <c r="E126" s="2" t="n"/>
      <c r="F126" s="2" t="n"/>
      <c r="G126" s="2" t="n"/>
      <c r="H126" s="2" t="n"/>
      <c r="I126" s="2" t="n"/>
      <c r="J126" s="2" t="n"/>
      <c r="K126" s="2" t="n"/>
      <c r="L126" s="2" t="n"/>
      <c r="M126" s="2" t="n"/>
      <c r="N126" s="2" t="n"/>
    </row>
    <row r="127" ht="14.25" customHeight="1" s="46">
      <c r="A127" s="2" t="n"/>
      <c r="B127" s="2" t="n"/>
      <c r="C127" s="2" t="n"/>
      <c r="D127" s="2" t="n"/>
      <c r="E127" s="2" t="n"/>
      <c r="F127" s="2" t="n"/>
      <c r="G127" s="2" t="n"/>
      <c r="H127" s="2" t="n"/>
      <c r="I127" s="2" t="n"/>
      <c r="J127" s="2" t="n"/>
      <c r="K127" s="2" t="n"/>
      <c r="L127" s="2" t="n"/>
      <c r="M127" s="2" t="n"/>
      <c r="N127" s="2" t="n"/>
    </row>
    <row r="128" ht="14.25" customHeight="1" s="46">
      <c r="A128" s="2" t="n"/>
      <c r="B128" s="2" t="n"/>
      <c r="C128" s="2" t="n"/>
      <c r="D128" s="2" t="n"/>
      <c r="E128" s="2" t="n"/>
      <c r="F128" s="2" t="n"/>
      <c r="G128" s="2" t="n"/>
      <c r="H128" s="2" t="n"/>
      <c r="I128" s="2" t="n"/>
      <c r="J128" s="2" t="n"/>
      <c r="K128" s="2" t="n"/>
      <c r="L128" s="2" t="n"/>
      <c r="M128" s="2" t="n"/>
      <c r="N128" s="2" t="n"/>
    </row>
    <row r="129" ht="14.25" customHeight="1" s="46">
      <c r="A129" s="2" t="n"/>
      <c r="B129" s="2" t="n"/>
      <c r="C129" s="2" t="n"/>
      <c r="D129" s="2" t="n"/>
      <c r="E129" s="2" t="n"/>
      <c r="F129" s="2" t="n"/>
      <c r="G129" s="2" t="n"/>
      <c r="H129" s="2" t="n"/>
      <c r="I129" s="2" t="n"/>
      <c r="J129" s="2" t="n"/>
      <c r="K129" s="2" t="n"/>
      <c r="L129" s="2" t="n"/>
      <c r="M129" s="2" t="n"/>
      <c r="N129" s="2" t="n"/>
    </row>
    <row r="130" ht="14.25" customHeight="1" s="46">
      <c r="A130" s="2" t="n"/>
      <c r="B130" s="2" t="n"/>
      <c r="C130" s="2" t="n"/>
      <c r="D130" s="2" t="n"/>
      <c r="E130" s="2" t="n"/>
      <c r="F130" s="2" t="n"/>
      <c r="G130" s="2" t="n"/>
      <c r="H130" s="2" t="n"/>
      <c r="I130" s="2" t="n"/>
      <c r="J130" s="2" t="n"/>
      <c r="K130" s="2" t="n"/>
      <c r="L130" s="2" t="n"/>
      <c r="M130" s="2" t="n"/>
      <c r="N130" s="2" t="n"/>
    </row>
    <row r="131" ht="14.25" customHeight="1" s="46">
      <c r="A131" s="2" t="n"/>
      <c r="B131" s="2" t="n"/>
      <c r="C131" s="2" t="n"/>
      <c r="D131" s="2" t="n"/>
      <c r="E131" s="2" t="n"/>
      <c r="F131" s="2" t="n"/>
      <c r="G131" s="2" t="n"/>
      <c r="H131" s="2" t="n"/>
      <c r="I131" s="2" t="n"/>
      <c r="J131" s="2" t="n"/>
      <c r="K131" s="2" t="n"/>
      <c r="L131" s="2" t="n"/>
      <c r="M131" s="2" t="n"/>
      <c r="N131" s="2" t="n"/>
    </row>
    <row r="132" ht="14.25" customHeight="1" s="46">
      <c r="A132" s="2" t="n"/>
      <c r="B132" s="2" t="n"/>
      <c r="C132" s="2" t="n"/>
      <c r="D132" s="2" t="n"/>
      <c r="E132" s="2" t="n"/>
      <c r="F132" s="2" t="n"/>
      <c r="G132" s="2" t="n"/>
      <c r="H132" s="2" t="n"/>
      <c r="I132" s="2" t="n"/>
      <c r="J132" s="2" t="n"/>
      <c r="K132" s="2" t="n"/>
      <c r="L132" s="2" t="n"/>
      <c r="M132" s="2" t="n"/>
      <c r="N132" s="2" t="n"/>
    </row>
    <row r="133" ht="14.25" customHeight="1" s="46">
      <c r="A133" s="2" t="n"/>
      <c r="B133" s="2" t="n"/>
      <c r="C133" s="2" t="n"/>
      <c r="D133" s="2" t="n"/>
      <c r="E133" s="2" t="n"/>
      <c r="F133" s="2" t="n"/>
      <c r="G133" s="2" t="n"/>
      <c r="H133" s="2" t="n"/>
      <c r="I133" s="2" t="n"/>
      <c r="J133" s="2" t="n"/>
      <c r="K133" s="2" t="n"/>
      <c r="L133" s="2" t="n"/>
      <c r="M133" s="2" t="n"/>
      <c r="N133" s="2" t="n"/>
    </row>
    <row r="134" ht="14.25" customHeight="1" s="46">
      <c r="A134" s="2" t="n"/>
      <c r="B134" s="2" t="n"/>
      <c r="C134" s="2" t="n"/>
      <c r="D134" s="2" t="n"/>
      <c r="E134" s="2" t="n"/>
      <c r="F134" s="2" t="n"/>
      <c r="G134" s="2" t="n"/>
      <c r="H134" s="2" t="n"/>
      <c r="I134" s="2" t="n"/>
      <c r="J134" s="2" t="n"/>
      <c r="K134" s="2" t="n"/>
      <c r="L134" s="2" t="n"/>
      <c r="M134" s="2" t="n"/>
      <c r="N134" s="2" t="n"/>
    </row>
    <row r="135" ht="14.25" customHeight="1" s="46">
      <c r="A135" s="2" t="n"/>
      <c r="B135" s="2" t="n"/>
      <c r="C135" s="2" t="n"/>
      <c r="D135" s="2" t="n"/>
      <c r="E135" s="2" t="n"/>
      <c r="F135" s="2" t="n"/>
      <c r="G135" s="2" t="n"/>
      <c r="H135" s="2" t="n"/>
      <c r="I135" s="2" t="n"/>
      <c r="J135" s="2" t="n"/>
      <c r="K135" s="2" t="n"/>
      <c r="L135" s="2" t="n"/>
      <c r="M135" s="2" t="n"/>
      <c r="N135" s="2" t="n"/>
    </row>
    <row r="136" ht="14.25" customHeight="1" s="46">
      <c r="A136" s="2" t="n"/>
      <c r="B136" s="2" t="n"/>
      <c r="C136" s="2" t="n"/>
      <c r="D136" s="2" t="n"/>
      <c r="E136" s="2" t="n"/>
      <c r="F136" s="2" t="n"/>
      <c r="G136" s="2" t="n"/>
      <c r="H136" s="2" t="n"/>
      <c r="I136" s="2" t="n"/>
      <c r="J136" s="2" t="n"/>
      <c r="K136" s="2" t="n"/>
      <c r="L136" s="2" t="n"/>
      <c r="M136" s="2" t="n"/>
      <c r="N136" s="2" t="n"/>
    </row>
    <row r="137" ht="14.25" customHeight="1" s="46">
      <c r="A137" s="2" t="n"/>
      <c r="B137" s="2" t="n"/>
      <c r="C137" s="2" t="n"/>
      <c r="D137" s="2" t="n"/>
      <c r="E137" s="2" t="n"/>
      <c r="F137" s="2" t="n"/>
      <c r="G137" s="2" t="n"/>
      <c r="H137" s="2" t="n"/>
      <c r="I137" s="2" t="n"/>
      <c r="J137" s="2" t="n"/>
      <c r="K137" s="2" t="n"/>
      <c r="L137" s="2" t="n"/>
      <c r="M137" s="2" t="n"/>
      <c r="N137" s="2" t="n"/>
    </row>
    <row r="138" ht="14.25" customHeight="1" s="46">
      <c r="A138" s="2" t="n"/>
      <c r="B138" s="2" t="n"/>
      <c r="C138" s="2" t="n"/>
      <c r="D138" s="2" t="n"/>
      <c r="E138" s="2" t="n"/>
      <c r="F138" s="2" t="n"/>
      <c r="G138" s="2" t="n"/>
      <c r="H138" s="2" t="n"/>
      <c r="I138" s="2" t="n"/>
      <c r="J138" s="2" t="n"/>
      <c r="K138" s="2" t="n"/>
      <c r="L138" s="2" t="n"/>
      <c r="M138" s="2" t="n"/>
      <c r="N138" s="2" t="n"/>
    </row>
    <row r="139" ht="14.25" customHeight="1" s="46">
      <c r="A139" s="2" t="n"/>
      <c r="B139" s="2" t="n"/>
      <c r="C139" s="2" t="n"/>
      <c r="D139" s="2" t="n"/>
      <c r="E139" s="2" t="n"/>
      <c r="F139" s="2" t="n"/>
      <c r="G139" s="2" t="n"/>
      <c r="H139" s="2" t="n"/>
      <c r="I139" s="2" t="n"/>
      <c r="J139" s="2" t="n"/>
      <c r="K139" s="2" t="n"/>
      <c r="L139" s="2" t="n"/>
      <c r="M139" s="2" t="n"/>
      <c r="N139" s="2" t="n"/>
    </row>
    <row r="140" ht="14.25" customHeight="1" s="46">
      <c r="A140" s="2" t="n"/>
      <c r="B140" s="2" t="n"/>
      <c r="C140" s="2" t="n"/>
      <c r="D140" s="2" t="n"/>
      <c r="E140" s="2" t="n"/>
      <c r="F140" s="2" t="n"/>
      <c r="G140" s="2" t="n"/>
      <c r="H140" s="2" t="n"/>
      <c r="I140" s="2" t="n"/>
      <c r="J140" s="2" t="n"/>
      <c r="K140" s="2" t="n"/>
      <c r="L140" s="2" t="n"/>
      <c r="M140" s="2" t="n"/>
      <c r="N140" s="2" t="n"/>
    </row>
    <row r="141" ht="14.25" customHeight="1" s="46">
      <c r="A141" s="2" t="n"/>
      <c r="B141" s="2" t="n"/>
      <c r="C141" s="2" t="n"/>
      <c r="D141" s="2" t="n"/>
      <c r="E141" s="2" t="n"/>
      <c r="F141" s="2" t="n"/>
      <c r="G141" s="2" t="n"/>
      <c r="H141" s="2" t="n"/>
      <c r="I141" s="2" t="n"/>
      <c r="J141" s="2" t="n"/>
      <c r="K141" s="2" t="n"/>
      <c r="L141" s="2" t="n"/>
      <c r="M141" s="2" t="n"/>
      <c r="N141" s="2" t="n"/>
    </row>
    <row r="142" ht="14.25" customHeight="1" s="46">
      <c r="A142" s="2" t="n"/>
      <c r="B142" s="2" t="n"/>
      <c r="C142" s="2" t="n"/>
      <c r="D142" s="2" t="n"/>
      <c r="E142" s="2" t="n"/>
      <c r="F142" s="2" t="n"/>
      <c r="G142" s="2" t="n"/>
      <c r="H142" s="2" t="n"/>
      <c r="I142" s="2" t="n"/>
      <c r="J142" s="2" t="n"/>
      <c r="K142" s="2" t="n"/>
      <c r="L142" s="2" t="n"/>
      <c r="M142" s="2" t="n"/>
      <c r="N142" s="2" t="n"/>
    </row>
    <row r="143" ht="14.25" customHeight="1" s="46">
      <c r="A143" s="2" t="n"/>
      <c r="B143" s="2" t="n"/>
      <c r="C143" s="2" t="n"/>
      <c r="D143" s="2" t="n"/>
      <c r="E143" s="2" t="n"/>
      <c r="F143" s="2" t="n"/>
      <c r="G143" s="2" t="n"/>
      <c r="H143" s="2" t="n"/>
      <c r="I143" s="2" t="n"/>
      <c r="J143" s="2" t="n"/>
      <c r="K143" s="2" t="n"/>
      <c r="L143" s="2" t="n"/>
      <c r="M143" s="2" t="n"/>
      <c r="N143" s="2" t="n"/>
    </row>
    <row r="144" ht="14.25" customHeight="1" s="46">
      <c r="A144" s="2" t="n"/>
      <c r="B144" s="2" t="n"/>
      <c r="C144" s="2" t="n"/>
      <c r="D144" s="2" t="n"/>
      <c r="E144" s="2" t="n"/>
      <c r="F144" s="2" t="n"/>
      <c r="G144" s="2" t="n"/>
      <c r="H144" s="2" t="n"/>
      <c r="I144" s="2" t="n"/>
      <c r="J144" s="2" t="n"/>
      <c r="K144" s="2" t="n"/>
      <c r="L144" s="2" t="n"/>
      <c r="M144" s="2" t="n"/>
      <c r="N144" s="2" t="n"/>
    </row>
    <row r="145" ht="14.25" customHeight="1" s="46">
      <c r="A145" s="2" t="n"/>
      <c r="B145" s="2" t="n"/>
      <c r="C145" s="2" t="n"/>
      <c r="D145" s="2" t="n"/>
      <c r="E145" s="2" t="n"/>
      <c r="F145" s="2" t="n"/>
      <c r="G145" s="2" t="n"/>
      <c r="H145" s="2" t="n"/>
      <c r="I145" s="2" t="n"/>
      <c r="J145" s="2" t="n"/>
      <c r="K145" s="2" t="n"/>
      <c r="L145" s="2" t="n"/>
      <c r="M145" s="2" t="n"/>
      <c r="N145" s="2" t="n"/>
    </row>
    <row r="146" ht="14.25" customHeight="1" s="46">
      <c r="A146" s="2" t="n"/>
      <c r="B146" s="2" t="n"/>
      <c r="C146" s="2" t="n"/>
      <c r="D146" s="2" t="n"/>
      <c r="E146" s="2" t="n"/>
      <c r="F146" s="2" t="n"/>
      <c r="G146" s="2" t="n"/>
      <c r="H146" s="2" t="n"/>
      <c r="I146" s="2" t="n"/>
      <c r="J146" s="2" t="n"/>
      <c r="K146" s="2" t="n"/>
      <c r="L146" s="2" t="n"/>
      <c r="M146" s="2" t="n"/>
      <c r="N146" s="2" t="n"/>
    </row>
    <row r="147" ht="14.25" customHeight="1" s="46">
      <c r="A147" s="2" t="n"/>
      <c r="B147" s="2" t="n"/>
      <c r="C147" s="2" t="n"/>
      <c r="D147" s="2" t="n"/>
      <c r="E147" s="2" t="n"/>
      <c r="F147" s="2" t="n"/>
      <c r="G147" s="2" t="n"/>
      <c r="H147" s="2" t="n"/>
      <c r="I147" s="2" t="n"/>
      <c r="J147" s="2" t="n"/>
      <c r="K147" s="2" t="n"/>
      <c r="L147" s="2" t="n"/>
      <c r="M147" s="2" t="n"/>
      <c r="N147" s="2" t="n"/>
    </row>
    <row r="148" ht="14.25" customHeight="1" s="46">
      <c r="A148" s="2" t="n"/>
      <c r="B148" s="2" t="n"/>
      <c r="C148" s="2" t="n"/>
      <c r="D148" s="2" t="n"/>
      <c r="E148" s="2" t="n"/>
      <c r="F148" s="2" t="n"/>
      <c r="G148" s="2" t="n"/>
      <c r="H148" s="2" t="n"/>
      <c r="I148" s="2" t="n"/>
      <c r="J148" s="2" t="n"/>
      <c r="K148" s="2" t="n"/>
      <c r="L148" s="2" t="n"/>
      <c r="M148" s="2" t="n"/>
      <c r="N148" s="2" t="n"/>
    </row>
    <row r="149" ht="14.25" customHeight="1" s="46">
      <c r="A149" s="2" t="n"/>
      <c r="B149" s="2" t="n"/>
      <c r="C149" s="2" t="n"/>
      <c r="D149" s="2" t="n"/>
      <c r="E149" s="2" t="n"/>
      <c r="F149" s="2" t="n"/>
      <c r="G149" s="2" t="n"/>
      <c r="H149" s="2" t="n"/>
      <c r="I149" s="2" t="n"/>
      <c r="J149" s="2" t="n"/>
      <c r="K149" s="2" t="n"/>
      <c r="L149" s="2" t="n"/>
      <c r="M149" s="2" t="n"/>
      <c r="N149" s="2" t="n"/>
    </row>
    <row r="150" ht="14.25" customHeight="1" s="46">
      <c r="A150" s="2" t="n"/>
      <c r="B150" s="2" t="n"/>
      <c r="C150" s="2" t="n"/>
      <c r="D150" s="2" t="n"/>
      <c r="E150" s="2" t="n"/>
      <c r="F150" s="2" t="n"/>
      <c r="G150" s="2" t="n"/>
      <c r="H150" s="2" t="n"/>
      <c r="I150" s="2" t="n"/>
      <c r="J150" s="2" t="n"/>
      <c r="K150" s="2" t="n"/>
      <c r="L150" s="2" t="n"/>
      <c r="M150" s="2" t="n"/>
      <c r="N150" s="2" t="n"/>
    </row>
    <row r="151" ht="14.25" customHeight="1" s="46">
      <c r="A151" s="2" t="n"/>
      <c r="B151" s="2" t="n"/>
      <c r="C151" s="2" t="n"/>
      <c r="D151" s="2" t="n"/>
      <c r="E151" s="2" t="n"/>
      <c r="F151" s="2" t="n"/>
      <c r="G151" s="2" t="n"/>
      <c r="H151" s="2" t="n"/>
      <c r="I151" s="2" t="n"/>
      <c r="J151" s="2" t="n"/>
      <c r="K151" s="2" t="n"/>
      <c r="L151" s="2" t="n"/>
      <c r="M151" s="2" t="n"/>
      <c r="N151" s="2" t="n"/>
    </row>
    <row r="152" ht="14.25" customHeight="1" s="46">
      <c r="A152" s="2" t="n"/>
      <c r="B152" s="2" t="n"/>
      <c r="C152" s="2" t="n"/>
      <c r="D152" s="2" t="n"/>
      <c r="E152" s="2" t="n"/>
      <c r="F152" s="2" t="n"/>
      <c r="G152" s="2" t="n"/>
      <c r="H152" s="2" t="n"/>
      <c r="I152" s="2" t="n"/>
      <c r="J152" s="2" t="n"/>
      <c r="K152" s="2" t="n"/>
      <c r="L152" s="2" t="n"/>
      <c r="M152" s="2" t="n"/>
      <c r="N152" s="2" t="n"/>
    </row>
    <row r="153" ht="14.25" customHeight="1" s="46">
      <c r="A153" s="2" t="n"/>
      <c r="B153" s="2" t="n"/>
      <c r="C153" s="2" t="n"/>
      <c r="D153" s="2" t="n"/>
      <c r="E153" s="2" t="n"/>
      <c r="F153" s="2" t="n"/>
      <c r="G153" s="2" t="n"/>
      <c r="H153" s="2" t="n"/>
      <c r="I153" s="2" t="n"/>
      <c r="J153" s="2" t="n"/>
      <c r="K153" s="2" t="n"/>
      <c r="L153" s="2" t="n"/>
      <c r="M153" s="2" t="n"/>
      <c r="N153" s="2" t="n"/>
    </row>
    <row r="154" ht="14.25" customHeight="1" s="46">
      <c r="A154" s="2" t="n"/>
      <c r="B154" s="2" t="n"/>
      <c r="C154" s="2" t="n"/>
      <c r="D154" s="2" t="n"/>
      <c r="E154" s="2" t="n"/>
      <c r="F154" s="2" t="n"/>
      <c r="G154" s="2" t="n"/>
      <c r="H154" s="2" t="n"/>
      <c r="I154" s="2" t="n"/>
      <c r="J154" s="2" t="n"/>
      <c r="K154" s="2" t="n"/>
      <c r="L154" s="2" t="n"/>
      <c r="M154" s="2" t="n"/>
      <c r="N154" s="2" t="n"/>
    </row>
    <row r="155" ht="14.25" customHeight="1" s="46">
      <c r="A155" s="2" t="n"/>
      <c r="B155" s="2" t="n"/>
      <c r="C155" s="2" t="n"/>
      <c r="D155" s="2" t="n"/>
      <c r="E155" s="2" t="n"/>
      <c r="F155" s="2" t="n"/>
      <c r="G155" s="2" t="n"/>
      <c r="H155" s="2" t="n"/>
      <c r="I155" s="2" t="n"/>
      <c r="J155" s="2" t="n"/>
      <c r="K155" s="2" t="n"/>
      <c r="L155" s="2" t="n"/>
      <c r="M155" s="2" t="n"/>
      <c r="N155" s="2" t="n"/>
    </row>
    <row r="156" ht="14.25" customHeight="1" s="46">
      <c r="A156" s="2" t="n"/>
      <c r="B156" s="2" t="n"/>
      <c r="C156" s="2" t="n"/>
      <c r="D156" s="2" t="n"/>
      <c r="E156" s="2" t="n"/>
      <c r="F156" s="2" t="n"/>
      <c r="G156" s="2" t="n"/>
      <c r="H156" s="2" t="n"/>
      <c r="I156" s="2" t="n"/>
      <c r="J156" s="2" t="n"/>
      <c r="K156" s="2" t="n"/>
      <c r="L156" s="2" t="n"/>
      <c r="M156" s="2" t="n"/>
      <c r="N156" s="2" t="n"/>
    </row>
    <row r="157" ht="14.25" customHeight="1" s="46">
      <c r="A157" s="2" t="n"/>
      <c r="B157" s="2" t="n"/>
      <c r="C157" s="2" t="n"/>
      <c r="D157" s="2" t="n"/>
      <c r="E157" s="2" t="n"/>
      <c r="F157" s="2" t="n"/>
      <c r="G157" s="2" t="n"/>
      <c r="H157" s="2" t="n"/>
      <c r="I157" s="2" t="n"/>
      <c r="J157" s="2" t="n"/>
      <c r="K157" s="2" t="n"/>
      <c r="L157" s="2" t="n"/>
      <c r="M157" s="2" t="n"/>
      <c r="N157" s="2" t="n"/>
    </row>
    <row r="158" ht="14.25" customHeight="1" s="46">
      <c r="A158" s="2" t="n"/>
      <c r="B158" s="2" t="n"/>
      <c r="C158" s="2" t="n"/>
      <c r="D158" s="2" t="n"/>
      <c r="E158" s="2" t="n"/>
      <c r="F158" s="2" t="n"/>
      <c r="G158" s="2" t="n"/>
      <c r="H158" s="2" t="n"/>
      <c r="I158" s="2" t="n"/>
      <c r="J158" s="2" t="n"/>
      <c r="K158" s="2" t="n"/>
      <c r="L158" s="2" t="n"/>
      <c r="M158" s="2" t="n"/>
      <c r="N158" s="2" t="n"/>
    </row>
    <row r="159" ht="14.25" customHeight="1" s="46">
      <c r="A159" s="2" t="n"/>
      <c r="B159" s="2" t="n"/>
      <c r="C159" s="2" t="n"/>
      <c r="D159" s="2" t="n"/>
      <c r="E159" s="2" t="n"/>
      <c r="F159" s="2" t="n"/>
      <c r="G159" s="2" t="n"/>
      <c r="H159" s="2" t="n"/>
      <c r="I159" s="2" t="n"/>
      <c r="J159" s="2" t="n"/>
      <c r="K159" s="2" t="n"/>
      <c r="L159" s="2" t="n"/>
      <c r="M159" s="2" t="n"/>
      <c r="N159" s="2" t="n"/>
    </row>
    <row r="160" ht="14.25" customHeight="1" s="46">
      <c r="A160" s="2" t="n"/>
      <c r="B160" s="2" t="n"/>
      <c r="C160" s="2" t="n"/>
      <c r="D160" s="2" t="n"/>
      <c r="E160" s="2" t="n"/>
      <c r="F160" s="2" t="n"/>
      <c r="G160" s="2" t="n"/>
      <c r="H160" s="2" t="n"/>
      <c r="I160" s="2" t="n"/>
      <c r="J160" s="2" t="n"/>
      <c r="K160" s="2" t="n"/>
      <c r="L160" s="2" t="n"/>
      <c r="M160" s="2" t="n"/>
      <c r="N160" s="2" t="n"/>
    </row>
    <row r="161" ht="14.25" customHeight="1" s="46">
      <c r="A161" s="2" t="n"/>
      <c r="B161" s="2" t="n"/>
      <c r="C161" s="2" t="n"/>
      <c r="D161" s="2" t="n"/>
      <c r="E161" s="2" t="n"/>
      <c r="F161" s="2" t="n"/>
      <c r="G161" s="2" t="n"/>
      <c r="H161" s="2" t="n"/>
      <c r="I161" s="2" t="n"/>
      <c r="J161" s="2" t="n"/>
      <c r="K161" s="2" t="n"/>
      <c r="L161" s="2" t="n"/>
      <c r="M161" s="2" t="n"/>
      <c r="N161" s="2" t="n"/>
    </row>
    <row r="162" ht="14.25" customHeight="1" s="46">
      <c r="A162" s="2" t="n"/>
      <c r="B162" s="2" t="n"/>
      <c r="C162" s="2" t="n"/>
      <c r="D162" s="2" t="n"/>
      <c r="E162" s="2" t="n"/>
      <c r="F162" s="2" t="n"/>
      <c r="G162" s="2" t="n"/>
      <c r="H162" s="2" t="n"/>
      <c r="I162" s="2" t="n"/>
      <c r="J162" s="2" t="n"/>
      <c r="K162" s="2" t="n"/>
      <c r="L162" s="2" t="n"/>
      <c r="M162" s="2" t="n"/>
      <c r="N162" s="2" t="n"/>
    </row>
    <row r="163" ht="14.25" customHeight="1" s="46">
      <c r="A163" s="2" t="n"/>
      <c r="B163" s="2" t="n"/>
      <c r="C163" s="2" t="n"/>
      <c r="D163" s="2" t="n"/>
      <c r="E163" s="2" t="n"/>
      <c r="F163" s="2" t="n"/>
      <c r="G163" s="2" t="n"/>
      <c r="H163" s="2" t="n"/>
      <c r="I163" s="2" t="n"/>
      <c r="J163" s="2" t="n"/>
      <c r="K163" s="2" t="n"/>
      <c r="L163" s="2" t="n"/>
      <c r="M163" s="2" t="n"/>
      <c r="N163" s="2" t="n"/>
    </row>
    <row r="164" ht="14.25" customHeight="1" s="46">
      <c r="A164" s="2" t="n"/>
      <c r="B164" s="2" t="n"/>
      <c r="C164" s="2" t="n"/>
      <c r="D164" s="2" t="n"/>
      <c r="E164" s="2" t="n"/>
      <c r="F164" s="2" t="n"/>
      <c r="G164" s="2" t="n"/>
      <c r="H164" s="2" t="n"/>
      <c r="I164" s="2" t="n"/>
      <c r="J164" s="2" t="n"/>
      <c r="K164" s="2" t="n"/>
      <c r="L164" s="2" t="n"/>
      <c r="M164" s="2" t="n"/>
      <c r="N164" s="2" t="n"/>
    </row>
    <row r="165" ht="14.25" customHeight="1" s="46">
      <c r="A165" s="2" t="n"/>
      <c r="B165" s="2" t="n"/>
      <c r="C165" s="2" t="n"/>
      <c r="D165" s="2" t="n"/>
      <c r="E165" s="2" t="n"/>
      <c r="F165" s="2" t="n"/>
      <c r="G165" s="2" t="n"/>
      <c r="H165" s="2" t="n"/>
      <c r="I165" s="2" t="n"/>
      <c r="J165" s="2" t="n"/>
      <c r="K165" s="2" t="n"/>
      <c r="L165" s="2" t="n"/>
      <c r="M165" s="2" t="n"/>
      <c r="N165" s="2" t="n"/>
    </row>
    <row r="166" ht="14.25" customHeight="1" s="46">
      <c r="A166" s="2" t="n"/>
      <c r="B166" s="2" t="n"/>
      <c r="C166" s="2" t="n"/>
      <c r="D166" s="2" t="n"/>
      <c r="E166" s="2" t="n"/>
      <c r="F166" s="2" t="n"/>
      <c r="G166" s="2" t="n"/>
      <c r="H166" s="2" t="n"/>
      <c r="I166" s="2" t="n"/>
      <c r="J166" s="2" t="n"/>
      <c r="K166" s="2" t="n"/>
      <c r="L166" s="2" t="n"/>
      <c r="M166" s="2" t="n"/>
      <c r="N166" s="2" t="n"/>
    </row>
    <row r="167" ht="14.25" customHeight="1" s="46">
      <c r="A167" s="2" t="n"/>
      <c r="B167" s="2" t="n"/>
      <c r="C167" s="2" t="n"/>
      <c r="D167" s="2" t="n"/>
      <c r="E167" s="2" t="n"/>
      <c r="F167" s="2" t="n"/>
      <c r="G167" s="2" t="n"/>
      <c r="H167" s="2" t="n"/>
      <c r="I167" s="2" t="n"/>
      <c r="J167" s="2" t="n"/>
      <c r="K167" s="2" t="n"/>
      <c r="L167" s="2" t="n"/>
      <c r="M167" s="2" t="n"/>
      <c r="N167" s="2" t="n"/>
    </row>
    <row r="168" ht="14.25" customHeight="1" s="46">
      <c r="A168" s="2" t="n"/>
      <c r="B168" s="2" t="n"/>
      <c r="C168" s="2" t="n"/>
      <c r="D168" s="2" t="n"/>
      <c r="E168" s="2" t="n"/>
      <c r="F168" s="2" t="n"/>
      <c r="G168" s="2" t="n"/>
      <c r="H168" s="2" t="n"/>
      <c r="I168" s="2" t="n"/>
      <c r="J168" s="2" t="n"/>
      <c r="K168" s="2" t="n"/>
      <c r="L168" s="2" t="n"/>
      <c r="M168" s="2" t="n"/>
      <c r="N168" s="2" t="n"/>
    </row>
    <row r="169" ht="14.25" customHeight="1" s="46">
      <c r="A169" s="2" t="n"/>
      <c r="B169" s="2" t="n"/>
      <c r="C169" s="2" t="n"/>
      <c r="D169" s="2" t="n"/>
      <c r="E169" s="2" t="n"/>
      <c r="F169" s="2" t="n"/>
      <c r="G169" s="2" t="n"/>
      <c r="H169" s="2" t="n"/>
      <c r="I169" s="2" t="n"/>
      <c r="J169" s="2" t="n"/>
      <c r="K169" s="2" t="n"/>
      <c r="L169" s="2" t="n"/>
      <c r="M169" s="2" t="n"/>
      <c r="N169" s="2" t="n"/>
    </row>
    <row r="170" ht="14.25" customHeight="1" s="46">
      <c r="A170" s="2" t="n"/>
      <c r="B170" s="2" t="n"/>
      <c r="C170" s="2" t="n"/>
      <c r="D170" s="2" t="n"/>
      <c r="E170" s="2" t="n"/>
      <c r="F170" s="2" t="n"/>
      <c r="G170" s="2" t="n"/>
      <c r="H170" s="2" t="n"/>
      <c r="I170" s="2" t="n"/>
      <c r="J170" s="2" t="n"/>
      <c r="K170" s="2" t="n"/>
      <c r="L170" s="2" t="n"/>
      <c r="M170" s="2" t="n"/>
      <c r="N170" s="2" t="n"/>
    </row>
    <row r="171" ht="14.25" customHeight="1" s="46">
      <c r="A171" s="2" t="n"/>
      <c r="B171" s="2" t="n"/>
      <c r="C171" s="2" t="n"/>
      <c r="D171" s="2" t="n"/>
      <c r="E171" s="2" t="n"/>
      <c r="F171" s="2" t="n"/>
      <c r="G171" s="2" t="n"/>
      <c r="H171" s="2" t="n"/>
      <c r="I171" s="2" t="n"/>
      <c r="J171" s="2" t="n"/>
      <c r="K171" s="2" t="n"/>
      <c r="L171" s="2" t="n"/>
      <c r="M171" s="2" t="n"/>
      <c r="N171" s="2" t="n"/>
    </row>
    <row r="172" ht="14.25" customHeight="1" s="46">
      <c r="A172" s="2" t="n"/>
      <c r="B172" s="2" t="n"/>
      <c r="C172" s="2" t="n"/>
      <c r="D172" s="2" t="n"/>
      <c r="E172" s="2" t="n"/>
      <c r="F172" s="2" t="n"/>
      <c r="G172" s="2" t="n"/>
      <c r="H172" s="2" t="n"/>
      <c r="I172" s="2" t="n"/>
      <c r="J172" s="2" t="n"/>
      <c r="K172" s="2" t="n"/>
      <c r="L172" s="2" t="n"/>
      <c r="M172" s="2" t="n"/>
      <c r="N172" s="2" t="n"/>
    </row>
    <row r="173" ht="14.25" customHeight="1" s="46">
      <c r="A173" s="2" t="n"/>
      <c r="B173" s="2" t="n"/>
      <c r="C173" s="2" t="n"/>
      <c r="D173" s="2" t="n"/>
      <c r="E173" s="2" t="n"/>
      <c r="F173" s="2" t="n"/>
      <c r="G173" s="2" t="n"/>
      <c r="H173" s="2" t="n"/>
      <c r="I173" s="2" t="n"/>
      <c r="J173" s="2" t="n"/>
      <c r="K173" s="2" t="n"/>
      <c r="L173" s="2" t="n"/>
      <c r="M173" s="2" t="n"/>
      <c r="N173" s="2" t="n"/>
    </row>
    <row r="174" ht="14.25" customHeight="1" s="46">
      <c r="A174" s="2" t="n"/>
      <c r="B174" s="2" t="n"/>
      <c r="C174" s="2" t="n"/>
      <c r="D174" s="2" t="n"/>
      <c r="E174" s="2" t="n"/>
      <c r="F174" s="2" t="n"/>
      <c r="G174" s="2" t="n"/>
      <c r="H174" s="2" t="n"/>
      <c r="I174" s="2" t="n"/>
      <c r="J174" s="2" t="n"/>
      <c r="K174" s="2" t="n"/>
      <c r="L174" s="2" t="n"/>
      <c r="M174" s="2" t="n"/>
      <c r="N174" s="2" t="n"/>
    </row>
    <row r="175" ht="14.25" customHeight="1" s="46">
      <c r="A175" s="2" t="n"/>
      <c r="B175" s="2" t="n"/>
      <c r="C175" s="2" t="n"/>
      <c r="D175" s="2" t="n"/>
      <c r="E175" s="2" t="n"/>
      <c r="F175" s="2" t="n"/>
      <c r="G175" s="2" t="n"/>
      <c r="H175" s="2" t="n"/>
      <c r="I175" s="2" t="n"/>
      <c r="J175" s="2" t="n"/>
      <c r="K175" s="2" t="n"/>
      <c r="L175" s="2" t="n"/>
      <c r="M175" s="2" t="n"/>
      <c r="N175" s="2" t="n"/>
    </row>
    <row r="176" ht="14.25" customHeight="1" s="46">
      <c r="A176" s="2" t="n"/>
      <c r="B176" s="2" t="n"/>
      <c r="C176" s="2" t="n"/>
      <c r="D176" s="2" t="n"/>
      <c r="E176" s="2" t="n"/>
      <c r="F176" s="2" t="n"/>
      <c r="G176" s="2" t="n"/>
      <c r="H176" s="2" t="n"/>
      <c r="I176" s="2" t="n"/>
      <c r="J176" s="2" t="n"/>
      <c r="K176" s="2" t="n"/>
      <c r="L176" s="2" t="n"/>
      <c r="M176" s="2" t="n"/>
      <c r="N176" s="2" t="n"/>
    </row>
    <row r="177" ht="14.25" customHeight="1" s="46">
      <c r="A177" s="2" t="n"/>
      <c r="B177" s="2" t="n"/>
      <c r="C177" s="2" t="n"/>
      <c r="D177" s="2" t="n"/>
      <c r="E177" s="2" t="n"/>
      <c r="F177" s="2" t="n"/>
      <c r="G177" s="2" t="n"/>
      <c r="H177" s="2" t="n"/>
      <c r="I177" s="2" t="n"/>
      <c r="J177" s="2" t="n"/>
      <c r="K177" s="2" t="n"/>
      <c r="L177" s="2" t="n"/>
      <c r="M177" s="2" t="n"/>
      <c r="N177" s="2" t="n"/>
    </row>
    <row r="178" ht="14.25" customHeight="1" s="46">
      <c r="A178" s="2" t="n"/>
      <c r="B178" s="2" t="n"/>
      <c r="C178" s="2" t="n"/>
      <c r="D178" s="2" t="n"/>
      <c r="E178" s="2" t="n"/>
      <c r="F178" s="2" t="n"/>
      <c r="G178" s="2" t="n"/>
      <c r="H178" s="2" t="n"/>
      <c r="I178" s="2" t="n"/>
      <c r="J178" s="2" t="n"/>
      <c r="K178" s="2" t="n"/>
      <c r="L178" s="2" t="n"/>
      <c r="M178" s="2" t="n"/>
      <c r="N178" s="2" t="n"/>
    </row>
    <row r="179" ht="14.25" customHeight="1" s="46">
      <c r="A179" s="2" t="n"/>
      <c r="B179" s="2" t="n"/>
      <c r="C179" s="2" t="n"/>
      <c r="D179" s="2" t="n"/>
      <c r="E179" s="2" t="n"/>
      <c r="F179" s="2" t="n"/>
      <c r="G179" s="2" t="n"/>
      <c r="H179" s="2" t="n"/>
      <c r="I179" s="2" t="n"/>
      <c r="J179" s="2" t="n"/>
      <c r="K179" s="2" t="n"/>
      <c r="L179" s="2" t="n"/>
      <c r="M179" s="2" t="n"/>
      <c r="N179" s="2" t="n"/>
    </row>
    <row r="180" ht="14.25" customHeight="1" s="46">
      <c r="A180" s="2" t="n"/>
      <c r="B180" s="2" t="n"/>
      <c r="C180" s="2" t="n"/>
      <c r="D180" s="2" t="n"/>
      <c r="E180" s="2" t="n"/>
      <c r="F180" s="2" t="n"/>
      <c r="G180" s="2" t="n"/>
      <c r="H180" s="2" t="n"/>
      <c r="I180" s="2" t="n"/>
      <c r="J180" s="2" t="n"/>
      <c r="K180" s="2" t="n"/>
      <c r="L180" s="2" t="n"/>
      <c r="M180" s="2" t="n"/>
      <c r="N180" s="2" t="n"/>
    </row>
    <row r="181" ht="14.25" customHeight="1" s="46">
      <c r="A181" s="2" t="n"/>
      <c r="B181" s="2" t="n"/>
      <c r="C181" s="2" t="n"/>
      <c r="D181" s="2" t="n"/>
      <c r="E181" s="2" t="n"/>
      <c r="F181" s="2" t="n"/>
      <c r="G181" s="2" t="n"/>
      <c r="H181" s="2" t="n"/>
      <c r="I181" s="2" t="n"/>
      <c r="J181" s="2" t="n"/>
      <c r="K181" s="2" t="n"/>
      <c r="L181" s="2" t="n"/>
      <c r="M181" s="2" t="n"/>
      <c r="N181" s="2" t="n"/>
    </row>
    <row r="182" ht="14.25" customHeight="1" s="46">
      <c r="A182" s="2" t="n"/>
      <c r="B182" s="2" t="n"/>
      <c r="C182" s="2" t="n"/>
      <c r="D182" s="2" t="n"/>
      <c r="E182" s="2" t="n"/>
      <c r="F182" s="2" t="n"/>
      <c r="G182" s="2" t="n"/>
      <c r="H182" s="2" t="n"/>
      <c r="I182" s="2" t="n"/>
      <c r="J182" s="2" t="n"/>
      <c r="K182" s="2" t="n"/>
      <c r="L182" s="2" t="n"/>
      <c r="M182" s="2" t="n"/>
      <c r="N182" s="2" t="n"/>
    </row>
    <row r="183" ht="14.25" customHeight="1" s="46">
      <c r="A183" s="2" t="n"/>
      <c r="B183" s="2" t="n"/>
      <c r="C183" s="2" t="n"/>
      <c r="D183" s="2" t="n"/>
      <c r="E183" s="2" t="n"/>
      <c r="F183" s="2" t="n"/>
      <c r="G183" s="2" t="n"/>
      <c r="H183" s="2" t="n"/>
      <c r="I183" s="2" t="n"/>
      <c r="J183" s="2" t="n"/>
      <c r="K183" s="2" t="n"/>
      <c r="L183" s="2" t="n"/>
      <c r="M183" s="2" t="n"/>
      <c r="N183" s="2" t="n"/>
    </row>
    <row r="184" ht="14.25" customHeight="1" s="46">
      <c r="A184" s="2" t="n"/>
      <c r="B184" s="2" t="n"/>
      <c r="C184" s="2" t="n"/>
      <c r="D184" s="2" t="n"/>
      <c r="E184" s="2" t="n"/>
      <c r="F184" s="2" t="n"/>
      <c r="G184" s="2" t="n"/>
      <c r="H184" s="2" t="n"/>
      <c r="I184" s="2" t="n"/>
      <c r="J184" s="2" t="n"/>
      <c r="K184" s="2" t="n"/>
      <c r="L184" s="2" t="n"/>
      <c r="M184" s="2" t="n"/>
      <c r="N184" s="2" t="n"/>
    </row>
    <row r="185" ht="14.25" customHeight="1" s="46">
      <c r="A185" s="2" t="n"/>
      <c r="B185" s="2" t="n"/>
      <c r="C185" s="2" t="n"/>
      <c r="D185" s="2" t="n"/>
      <c r="E185" s="2" t="n"/>
      <c r="F185" s="2" t="n"/>
      <c r="G185" s="2" t="n"/>
      <c r="H185" s="2" t="n"/>
      <c r="I185" s="2" t="n"/>
      <c r="J185" s="2" t="n"/>
      <c r="K185" s="2" t="n"/>
      <c r="L185" s="2" t="n"/>
      <c r="M185" s="2" t="n"/>
      <c r="N185" s="2" t="n"/>
    </row>
    <row r="186" ht="14.25" customHeight="1" s="46">
      <c r="A186" s="2" t="n"/>
      <c r="B186" s="2" t="n"/>
      <c r="C186" s="2" t="n"/>
      <c r="D186" s="2" t="n"/>
      <c r="E186" s="2" t="n"/>
      <c r="F186" s="2" t="n"/>
      <c r="G186" s="2" t="n"/>
      <c r="H186" s="2" t="n"/>
      <c r="I186" s="2" t="n"/>
      <c r="J186" s="2" t="n"/>
      <c r="K186" s="2" t="n"/>
      <c r="L186" s="2" t="n"/>
      <c r="M186" s="2" t="n"/>
      <c r="N186" s="2" t="n"/>
    </row>
    <row r="187" ht="14.25" customHeight="1" s="46">
      <c r="A187" s="2" t="n"/>
      <c r="B187" s="2" t="n"/>
      <c r="C187" s="2" t="n"/>
      <c r="D187" s="2" t="n"/>
      <c r="E187" s="2" t="n"/>
      <c r="F187" s="2" t="n"/>
      <c r="G187" s="2" t="n"/>
      <c r="H187" s="2" t="n"/>
      <c r="I187" s="2" t="n"/>
      <c r="J187" s="2" t="n"/>
      <c r="K187" s="2" t="n"/>
      <c r="L187" s="2" t="n"/>
      <c r="M187" s="2" t="n"/>
      <c r="N187" s="2" t="n"/>
    </row>
    <row r="188" ht="14.25" customHeight="1" s="46">
      <c r="A188" s="2" t="n"/>
      <c r="B188" s="2" t="n"/>
      <c r="C188" s="2" t="n"/>
      <c r="D188" s="2" t="n"/>
      <c r="E188" s="2" t="n"/>
      <c r="F188" s="2" t="n"/>
      <c r="G188" s="2" t="n"/>
      <c r="H188" s="2" t="n"/>
      <c r="I188" s="2" t="n"/>
      <c r="J188" s="2" t="n"/>
      <c r="K188" s="2" t="n"/>
      <c r="L188" s="2" t="n"/>
      <c r="M188" s="2" t="n"/>
      <c r="N188" s="2" t="n"/>
    </row>
    <row r="189" ht="14.25" customHeight="1" s="46">
      <c r="A189" s="2" t="n"/>
      <c r="B189" s="2" t="n"/>
      <c r="C189" s="2" t="n"/>
      <c r="D189" s="2" t="n"/>
      <c r="E189" s="2" t="n"/>
      <c r="F189" s="2" t="n"/>
      <c r="G189" s="2" t="n"/>
      <c r="H189" s="2" t="n"/>
      <c r="I189" s="2" t="n"/>
      <c r="J189" s="2" t="n"/>
      <c r="K189" s="2" t="n"/>
      <c r="L189" s="2" t="n"/>
      <c r="M189" s="2" t="n"/>
      <c r="N189" s="2" t="n"/>
    </row>
    <row r="190" ht="14.25" customHeight="1" s="46">
      <c r="A190" s="2" t="n"/>
      <c r="B190" s="2" t="n"/>
      <c r="C190" s="2" t="n"/>
      <c r="D190" s="2" t="n"/>
      <c r="E190" s="2" t="n"/>
      <c r="F190" s="2" t="n"/>
      <c r="G190" s="2" t="n"/>
      <c r="H190" s="2" t="n"/>
      <c r="I190" s="2" t="n"/>
      <c r="J190" s="2" t="n"/>
      <c r="K190" s="2" t="n"/>
      <c r="L190" s="2" t="n"/>
      <c r="M190" s="2" t="n"/>
      <c r="N190" s="2" t="n"/>
    </row>
    <row r="191" ht="14.25" customHeight="1" s="46">
      <c r="A191" s="2" t="n"/>
      <c r="B191" s="2" t="n"/>
      <c r="C191" s="2" t="n"/>
      <c r="D191" s="2" t="n"/>
      <c r="E191" s="2" t="n"/>
      <c r="F191" s="2" t="n"/>
      <c r="G191" s="2" t="n"/>
      <c r="H191" s="2" t="n"/>
      <c r="I191" s="2" t="n"/>
      <c r="J191" s="2" t="n"/>
      <c r="K191" s="2" t="n"/>
      <c r="L191" s="2" t="n"/>
      <c r="M191" s="2" t="n"/>
      <c r="N191" s="2" t="n"/>
    </row>
    <row r="192" ht="14.25" customHeight="1" s="46">
      <c r="A192" s="2" t="n"/>
      <c r="B192" s="2" t="n"/>
      <c r="C192" s="2" t="n"/>
      <c r="D192" s="2" t="n"/>
      <c r="E192" s="2" t="n"/>
      <c r="F192" s="2" t="n"/>
      <c r="G192" s="2" t="n"/>
      <c r="H192" s="2" t="n"/>
      <c r="I192" s="2" t="n"/>
      <c r="J192" s="2" t="n"/>
      <c r="K192" s="2" t="n"/>
      <c r="L192" s="2" t="n"/>
      <c r="M192" s="2" t="n"/>
      <c r="N192" s="2" t="n"/>
    </row>
    <row r="193" ht="14.25" customHeight="1" s="46">
      <c r="A193" s="2" t="n"/>
      <c r="B193" s="2" t="n"/>
      <c r="C193" s="2" t="n"/>
      <c r="D193" s="2" t="n"/>
      <c r="E193" s="2" t="n"/>
      <c r="F193" s="2" t="n"/>
      <c r="G193" s="2" t="n"/>
      <c r="H193" s="2" t="n"/>
      <c r="I193" s="2" t="n"/>
      <c r="J193" s="2" t="n"/>
      <c r="K193" s="2" t="n"/>
      <c r="L193" s="2" t="n"/>
      <c r="M193" s="2" t="n"/>
      <c r="N193" s="2" t="n"/>
    </row>
    <row r="194" ht="14.25" customHeight="1" s="46">
      <c r="A194" s="2" t="n"/>
      <c r="B194" s="2" t="n"/>
      <c r="C194" s="2" t="n"/>
      <c r="D194" s="2" t="n"/>
      <c r="E194" s="2" t="n"/>
      <c r="F194" s="2" t="n"/>
      <c r="G194" s="2" t="n"/>
      <c r="H194" s="2" t="n"/>
      <c r="I194" s="2" t="n"/>
      <c r="J194" s="2" t="n"/>
      <c r="K194" s="2" t="n"/>
      <c r="L194" s="2" t="n"/>
      <c r="M194" s="2" t="n"/>
      <c r="N194" s="2" t="n"/>
    </row>
    <row r="195" ht="14.25" customHeight="1" s="46">
      <c r="A195" s="2" t="n"/>
      <c r="B195" s="2" t="n"/>
      <c r="C195" s="2" t="n"/>
      <c r="D195" s="2" t="n"/>
      <c r="E195" s="2" t="n"/>
      <c r="F195" s="2" t="n"/>
      <c r="G195" s="2" t="n"/>
      <c r="H195" s="2" t="n"/>
      <c r="I195" s="2" t="n"/>
      <c r="J195" s="2" t="n"/>
      <c r="K195" s="2" t="n"/>
      <c r="L195" s="2" t="n"/>
      <c r="M195" s="2" t="n"/>
      <c r="N195" s="2" t="n"/>
    </row>
    <row r="196" ht="14.25" customHeight="1" s="46">
      <c r="A196" s="2" t="n"/>
      <c r="B196" s="2" t="n"/>
      <c r="C196" s="2" t="n"/>
      <c r="D196" s="2" t="n"/>
      <c r="E196" s="2" t="n"/>
      <c r="F196" s="2" t="n"/>
      <c r="G196" s="2" t="n"/>
      <c r="H196" s="2" t="n"/>
      <c r="I196" s="2" t="n"/>
      <c r="J196" s="2" t="n"/>
      <c r="K196" s="2" t="n"/>
      <c r="L196" s="2" t="n"/>
      <c r="M196" s="2" t="n"/>
      <c r="N196" s="2" t="n"/>
    </row>
    <row r="197" ht="14.25" customHeight="1" s="46">
      <c r="A197" s="2" t="n"/>
      <c r="B197" s="2" t="n"/>
      <c r="C197" s="2" t="n"/>
      <c r="D197" s="2" t="n"/>
      <c r="E197" s="2" t="n"/>
      <c r="F197" s="2" t="n"/>
      <c r="G197" s="2" t="n"/>
      <c r="H197" s="2" t="n"/>
      <c r="I197" s="2" t="n"/>
      <c r="J197" s="2" t="n"/>
      <c r="K197" s="2" t="n"/>
      <c r="L197" s="2" t="n"/>
      <c r="M197" s="2" t="n"/>
      <c r="N197" s="2" t="n"/>
    </row>
    <row r="198" ht="14.25" customHeight="1" s="46">
      <c r="A198" s="2" t="n"/>
      <c r="B198" s="2" t="n"/>
      <c r="C198" s="2" t="n"/>
      <c r="D198" s="2" t="n"/>
      <c r="E198" s="2" t="n"/>
      <c r="F198" s="2" t="n"/>
      <c r="G198" s="2" t="n"/>
      <c r="H198" s="2" t="n"/>
      <c r="I198" s="2" t="n"/>
      <c r="J198" s="2" t="n"/>
      <c r="K198" s="2" t="n"/>
      <c r="L198" s="2" t="n"/>
      <c r="M198" s="2" t="n"/>
      <c r="N198" s="2" t="n"/>
    </row>
    <row r="199" ht="14.25" customHeight="1" s="46">
      <c r="A199" s="2" t="n"/>
      <c r="B199" s="2" t="n"/>
      <c r="C199" s="2" t="n"/>
      <c r="D199" s="2" t="n"/>
      <c r="E199" s="2" t="n"/>
      <c r="F199" s="2" t="n"/>
      <c r="G199" s="2" t="n"/>
      <c r="H199" s="2" t="n"/>
      <c r="I199" s="2" t="n"/>
      <c r="J199" s="2" t="n"/>
      <c r="K199" s="2" t="n"/>
      <c r="L199" s="2" t="n"/>
      <c r="M199" s="2" t="n"/>
      <c r="N199" s="2" t="n"/>
    </row>
    <row r="200" ht="14.25" customHeight="1" s="46">
      <c r="A200" s="2" t="n"/>
      <c r="B200" s="2" t="n"/>
      <c r="C200" s="2" t="n"/>
      <c r="D200" s="2" t="n"/>
      <c r="E200" s="2" t="n"/>
      <c r="F200" s="2" t="n"/>
      <c r="G200" s="2" t="n"/>
      <c r="H200" s="2" t="n"/>
      <c r="I200" s="2" t="n"/>
      <c r="J200" s="2" t="n"/>
      <c r="K200" s="2" t="n"/>
      <c r="L200" s="2" t="n"/>
      <c r="M200" s="2" t="n"/>
      <c r="N200" s="2" t="n"/>
    </row>
    <row r="201" ht="14.25" customHeight="1" s="46">
      <c r="A201" s="2" t="n"/>
      <c r="B201" s="2" t="n"/>
      <c r="C201" s="2" t="n"/>
      <c r="D201" s="2" t="n"/>
      <c r="E201" s="2" t="n"/>
      <c r="F201" s="2" t="n"/>
      <c r="G201" s="2" t="n"/>
      <c r="H201" s="2" t="n"/>
      <c r="I201" s="2" t="n"/>
      <c r="J201" s="2" t="n"/>
      <c r="K201" s="2" t="n"/>
      <c r="L201" s="2" t="n"/>
      <c r="M201" s="2" t="n"/>
      <c r="N201" s="2" t="n"/>
    </row>
    <row r="202" ht="14.25" customHeight="1" s="46">
      <c r="A202" s="2" t="n"/>
      <c r="B202" s="2" t="n"/>
      <c r="C202" s="2" t="n"/>
      <c r="D202" s="2" t="n"/>
      <c r="E202" s="2" t="n"/>
      <c r="F202" s="2" t="n"/>
      <c r="G202" s="2" t="n"/>
      <c r="H202" s="2" t="n"/>
      <c r="I202" s="2" t="n"/>
      <c r="J202" s="2" t="n"/>
      <c r="K202" s="2" t="n"/>
      <c r="L202" s="2" t="n"/>
      <c r="M202" s="2" t="n"/>
      <c r="N202" s="2" t="n"/>
    </row>
    <row r="203" ht="14.25" customHeight="1" s="46">
      <c r="A203" s="2" t="n"/>
      <c r="B203" s="2" t="n"/>
      <c r="C203" s="2" t="n"/>
      <c r="D203" s="2" t="n"/>
      <c r="E203" s="2" t="n"/>
      <c r="F203" s="2" t="n"/>
      <c r="G203" s="2" t="n"/>
      <c r="H203" s="2" t="n"/>
      <c r="I203" s="2" t="n"/>
      <c r="J203" s="2" t="n"/>
      <c r="K203" s="2" t="n"/>
      <c r="L203" s="2" t="n"/>
      <c r="M203" s="2" t="n"/>
      <c r="N203" s="2" t="n"/>
    </row>
    <row r="204" ht="14.25" customHeight="1" s="46">
      <c r="A204" s="2" t="n"/>
      <c r="B204" s="2" t="n"/>
      <c r="C204" s="2" t="n"/>
      <c r="D204" s="2" t="n"/>
      <c r="E204" s="2" t="n"/>
      <c r="F204" s="2" t="n"/>
      <c r="G204" s="2" t="n"/>
      <c r="H204" s="2" t="n"/>
      <c r="I204" s="2" t="n"/>
      <c r="J204" s="2" t="n"/>
      <c r="K204" s="2" t="n"/>
      <c r="L204" s="2" t="n"/>
      <c r="M204" s="2" t="n"/>
      <c r="N204" s="2" t="n"/>
    </row>
    <row r="205" ht="14.25" customHeight="1" s="46">
      <c r="A205" s="2" t="n"/>
      <c r="B205" s="2" t="n"/>
      <c r="C205" s="2" t="n"/>
      <c r="D205" s="2" t="n"/>
      <c r="E205" s="2" t="n"/>
      <c r="F205" s="2" t="n"/>
      <c r="G205" s="2" t="n"/>
      <c r="H205" s="2" t="n"/>
      <c r="I205" s="2" t="n"/>
      <c r="J205" s="2" t="n"/>
      <c r="K205" s="2" t="n"/>
      <c r="L205" s="2" t="n"/>
      <c r="M205" s="2" t="n"/>
      <c r="N205" s="2" t="n"/>
    </row>
    <row r="206" ht="14.25" customHeight="1" s="46">
      <c r="A206" s="2" t="n"/>
      <c r="B206" s="2" t="n"/>
      <c r="C206" s="2" t="n"/>
      <c r="D206" s="2" t="n"/>
      <c r="E206" s="2" t="n"/>
      <c r="F206" s="2" t="n"/>
      <c r="G206" s="2" t="n"/>
      <c r="H206" s="2" t="n"/>
      <c r="I206" s="2" t="n"/>
      <c r="J206" s="2" t="n"/>
      <c r="K206" s="2" t="n"/>
      <c r="L206" s="2" t="n"/>
      <c r="M206" s="2" t="n"/>
      <c r="N206" s="2" t="n"/>
    </row>
    <row r="207" ht="14.25" customHeight="1" s="46">
      <c r="A207" s="2" t="n"/>
      <c r="B207" s="2" t="n"/>
      <c r="C207" s="2" t="n"/>
      <c r="D207" s="2" t="n"/>
      <c r="E207" s="2" t="n"/>
      <c r="F207" s="2" t="n"/>
      <c r="G207" s="2" t="n"/>
      <c r="H207" s="2" t="n"/>
      <c r="I207" s="2" t="n"/>
      <c r="J207" s="2" t="n"/>
      <c r="K207" s="2" t="n"/>
      <c r="L207" s="2" t="n"/>
      <c r="M207" s="2" t="n"/>
      <c r="N207" s="2" t="n"/>
    </row>
    <row r="208" ht="14.25" customHeight="1" s="46">
      <c r="A208" s="2" t="n"/>
      <c r="B208" s="2" t="n"/>
      <c r="C208" s="2" t="n"/>
      <c r="D208" s="2" t="n"/>
      <c r="E208" s="2" t="n"/>
      <c r="F208" s="2" t="n"/>
      <c r="G208" s="2" t="n"/>
      <c r="H208" s="2" t="n"/>
      <c r="I208" s="2" t="n"/>
      <c r="J208" s="2" t="n"/>
      <c r="K208" s="2" t="n"/>
      <c r="L208" s="2" t="n"/>
      <c r="M208" s="2" t="n"/>
      <c r="N208" s="2" t="n"/>
    </row>
    <row r="209" ht="14.25" customHeight="1" s="46">
      <c r="A209" s="2" t="n"/>
      <c r="B209" s="2" t="n"/>
      <c r="C209" s="2" t="n"/>
      <c r="D209" s="2" t="n"/>
      <c r="E209" s="2" t="n"/>
      <c r="F209" s="2" t="n"/>
      <c r="G209" s="2" t="n"/>
      <c r="H209" s="2" t="n"/>
      <c r="I209" s="2" t="n"/>
      <c r="J209" s="2" t="n"/>
      <c r="K209" s="2" t="n"/>
      <c r="L209" s="2" t="n"/>
      <c r="M209" s="2" t="n"/>
      <c r="N209" s="2" t="n"/>
    </row>
    <row r="210" ht="14.25" customHeight="1" s="46">
      <c r="A210" s="2" t="n"/>
      <c r="B210" s="2" t="n"/>
      <c r="C210" s="2" t="n"/>
      <c r="D210" s="2" t="n"/>
      <c r="E210" s="2" t="n"/>
      <c r="F210" s="2" t="n"/>
      <c r="G210" s="2" t="n"/>
      <c r="H210" s="2" t="n"/>
      <c r="I210" s="2" t="n"/>
      <c r="J210" s="2" t="n"/>
      <c r="K210" s="2" t="n"/>
      <c r="L210" s="2" t="n"/>
      <c r="M210" s="2" t="n"/>
      <c r="N210" s="2" t="n"/>
    </row>
    <row r="211" ht="14.25" customHeight="1" s="46">
      <c r="A211" s="2" t="n"/>
      <c r="B211" s="2" t="n"/>
      <c r="C211" s="2" t="n"/>
      <c r="D211" s="2" t="n"/>
      <c r="E211" s="2" t="n"/>
      <c r="F211" s="2" t="n"/>
      <c r="G211" s="2" t="n"/>
      <c r="H211" s="2" t="n"/>
      <c r="I211" s="2" t="n"/>
      <c r="J211" s="2" t="n"/>
      <c r="K211" s="2" t="n"/>
      <c r="L211" s="2" t="n"/>
      <c r="M211" s="2" t="n"/>
      <c r="N211" s="2" t="n"/>
    </row>
    <row r="212" ht="14.25" customHeight="1" s="46">
      <c r="A212" s="2" t="n"/>
      <c r="B212" s="2" t="n"/>
      <c r="C212" s="2" t="n"/>
      <c r="D212" s="2" t="n"/>
      <c r="E212" s="2" t="n"/>
      <c r="F212" s="2" t="n"/>
      <c r="G212" s="2" t="n"/>
      <c r="H212" s="2" t="n"/>
      <c r="I212" s="2" t="n"/>
      <c r="J212" s="2" t="n"/>
      <c r="K212" s="2" t="n"/>
      <c r="L212" s="2" t="n"/>
      <c r="M212" s="2" t="n"/>
      <c r="N212" s="2" t="n"/>
    </row>
    <row r="213" ht="14.25" customHeight="1" s="46">
      <c r="A213" s="2" t="n"/>
      <c r="B213" s="2" t="n"/>
      <c r="C213" s="2" t="n"/>
      <c r="D213" s="2" t="n"/>
      <c r="E213" s="2" t="n"/>
      <c r="F213" s="2" t="n"/>
      <c r="G213" s="2" t="n"/>
      <c r="H213" s="2" t="n"/>
      <c r="I213" s="2" t="n"/>
      <c r="J213" s="2" t="n"/>
      <c r="K213" s="2" t="n"/>
      <c r="L213" s="2" t="n"/>
      <c r="M213" s="2" t="n"/>
      <c r="N213" s="2" t="n"/>
    </row>
    <row r="214" ht="14.25" customHeight="1" s="46">
      <c r="A214" s="2" t="n"/>
      <c r="B214" s="2" t="n"/>
      <c r="C214" s="2" t="n"/>
      <c r="D214" s="2" t="n"/>
      <c r="E214" s="2" t="n"/>
      <c r="F214" s="2" t="n"/>
      <c r="G214" s="2" t="n"/>
      <c r="H214" s="2" t="n"/>
      <c r="I214" s="2" t="n"/>
      <c r="J214" s="2" t="n"/>
      <c r="K214" s="2" t="n"/>
      <c r="L214" s="2" t="n"/>
      <c r="M214" s="2" t="n"/>
      <c r="N214" s="2" t="n"/>
    </row>
    <row r="215" ht="14.25" customHeight="1" s="46">
      <c r="A215" s="2" t="n"/>
      <c r="B215" s="2" t="n"/>
      <c r="C215" s="2" t="n"/>
      <c r="D215" s="2" t="n"/>
      <c r="E215" s="2" t="n"/>
      <c r="F215" s="2" t="n"/>
      <c r="G215" s="2" t="n"/>
      <c r="H215" s="2" t="n"/>
      <c r="I215" s="2" t="n"/>
      <c r="J215" s="2" t="n"/>
      <c r="K215" s="2" t="n"/>
      <c r="L215" s="2" t="n"/>
      <c r="M215" s="2" t="n"/>
      <c r="N215" s="2" t="n"/>
    </row>
    <row r="216" ht="14.25" customHeight="1" s="46">
      <c r="A216" s="2" t="n"/>
      <c r="B216" s="2" t="n"/>
      <c r="C216" s="2" t="n"/>
      <c r="D216" s="2" t="n"/>
      <c r="E216" s="2" t="n"/>
      <c r="F216" s="2" t="n"/>
      <c r="G216" s="2" t="n"/>
      <c r="H216" s="2" t="n"/>
      <c r="I216" s="2" t="n"/>
      <c r="J216" s="2" t="n"/>
      <c r="K216" s="2" t="n"/>
      <c r="L216" s="2" t="n"/>
      <c r="M216" s="2" t="n"/>
      <c r="N216" s="2" t="n"/>
    </row>
    <row r="217" ht="14.25" customHeight="1" s="46">
      <c r="A217" s="2" t="n"/>
      <c r="B217" s="2" t="n"/>
      <c r="C217" s="2" t="n"/>
      <c r="D217" s="2" t="n"/>
      <c r="E217" s="2" t="n"/>
      <c r="F217" s="2" t="n"/>
      <c r="G217" s="2" t="n"/>
      <c r="H217" s="2" t="n"/>
      <c r="I217" s="2" t="n"/>
      <c r="J217" s="2" t="n"/>
      <c r="K217" s="2" t="n"/>
      <c r="L217" s="2" t="n"/>
      <c r="M217" s="2" t="n"/>
      <c r="N217" s="2" t="n"/>
    </row>
    <row r="218" ht="14.25" customHeight="1" s="46">
      <c r="A218" s="2" t="n"/>
      <c r="B218" s="2" t="n"/>
      <c r="C218" s="2" t="n"/>
      <c r="D218" s="2" t="n"/>
      <c r="E218" s="2" t="n"/>
      <c r="F218" s="2" t="n"/>
      <c r="G218" s="2" t="n"/>
      <c r="H218" s="2" t="n"/>
      <c r="I218" s="2" t="n"/>
      <c r="J218" s="2" t="n"/>
      <c r="K218" s="2" t="n"/>
      <c r="L218" s="2" t="n"/>
      <c r="M218" s="2" t="n"/>
      <c r="N218" s="2" t="n"/>
    </row>
    <row r="219" ht="14.25" customHeight="1" s="46">
      <c r="A219" s="2" t="n"/>
      <c r="B219" s="2" t="n"/>
      <c r="C219" s="2" t="n"/>
      <c r="D219" s="2" t="n"/>
      <c r="E219" s="2" t="n"/>
      <c r="F219" s="2" t="n"/>
      <c r="G219" s="2" t="n"/>
      <c r="H219" s="2" t="n"/>
      <c r="I219" s="2" t="n"/>
      <c r="J219" s="2" t="n"/>
      <c r="K219" s="2" t="n"/>
      <c r="L219" s="2" t="n"/>
      <c r="M219" s="2" t="n"/>
      <c r="N219" s="2" t="n"/>
    </row>
    <row r="220" ht="14.25" customHeight="1" s="46">
      <c r="A220" s="2" t="n"/>
      <c r="B220" s="2" t="n"/>
      <c r="C220" s="2" t="n"/>
      <c r="D220" s="2" t="n"/>
      <c r="E220" s="2" t="n"/>
      <c r="F220" s="2" t="n"/>
      <c r="G220" s="2" t="n"/>
      <c r="H220" s="2" t="n"/>
      <c r="I220" s="2" t="n"/>
      <c r="J220" s="2" t="n"/>
      <c r="K220" s="2" t="n"/>
      <c r="L220" s="2" t="n"/>
      <c r="M220" s="2" t="n"/>
      <c r="N220" s="2" t="n"/>
    </row>
    <row r="221" ht="14.25" customHeight="1" s="46">
      <c r="A221" s="2" t="n"/>
      <c r="B221" s="2" t="n"/>
      <c r="C221" s="2" t="n"/>
      <c r="D221" s="2" t="n"/>
      <c r="E221" s="2" t="n"/>
      <c r="F221" s="2" t="n"/>
      <c r="G221" s="2" t="n"/>
      <c r="H221" s="2" t="n"/>
      <c r="I221" s="2" t="n"/>
      <c r="J221" s="2" t="n"/>
      <c r="K221" s="2" t="n"/>
      <c r="L221" s="2" t="n"/>
      <c r="M221" s="2" t="n"/>
      <c r="N221" s="2" t="n"/>
    </row>
    <row r="222" ht="14.25" customHeight="1" s="46">
      <c r="A222" s="2" t="n"/>
      <c r="B222" s="2" t="n"/>
      <c r="C222" s="2" t="n"/>
      <c r="D222" s="2" t="n"/>
      <c r="E222" s="2" t="n"/>
      <c r="F222" s="2" t="n"/>
      <c r="G222" s="2" t="n"/>
      <c r="H222" s="2" t="n"/>
      <c r="I222" s="2" t="n"/>
      <c r="J222" s="2" t="n"/>
      <c r="K222" s="2" t="n"/>
      <c r="L222" s="2" t="n"/>
      <c r="M222" s="2" t="n"/>
      <c r="N222" s="2" t="n"/>
    </row>
    <row r="223" ht="14.25" customHeight="1" s="46">
      <c r="A223" s="2" t="n"/>
      <c r="B223" s="2" t="n"/>
      <c r="C223" s="2" t="n"/>
      <c r="D223" s="2" t="n"/>
      <c r="E223" s="2" t="n"/>
      <c r="F223" s="2" t="n"/>
      <c r="G223" s="2" t="n"/>
      <c r="H223" s="2" t="n"/>
      <c r="I223" s="2" t="n"/>
      <c r="J223" s="2" t="n"/>
      <c r="K223" s="2" t="n"/>
      <c r="L223" s="2" t="n"/>
      <c r="M223" s="2" t="n"/>
      <c r="N223" s="2" t="n"/>
    </row>
    <row r="224" ht="14.25" customHeight="1" s="46">
      <c r="A224" s="2" t="n"/>
      <c r="B224" s="2" t="n"/>
      <c r="C224" s="2" t="n"/>
      <c r="D224" s="2" t="n"/>
      <c r="E224" s="2" t="n"/>
      <c r="F224" s="2" t="n"/>
      <c r="G224" s="2" t="n"/>
      <c r="H224" s="2" t="n"/>
      <c r="I224" s="2" t="n"/>
      <c r="J224" s="2" t="n"/>
      <c r="K224" s="2" t="n"/>
      <c r="L224" s="2" t="n"/>
      <c r="M224" s="2" t="n"/>
      <c r="N224" s="2" t="n"/>
    </row>
    <row r="225" ht="14.25" customHeight="1" s="46">
      <c r="A225" s="2" t="n"/>
      <c r="B225" s="2" t="n"/>
      <c r="C225" s="2" t="n"/>
      <c r="D225" s="2" t="n"/>
      <c r="E225" s="2" t="n"/>
      <c r="F225" s="2" t="n"/>
      <c r="G225" s="2" t="n"/>
      <c r="H225" s="2" t="n"/>
      <c r="I225" s="2" t="n"/>
      <c r="J225" s="2" t="n"/>
      <c r="K225" s="2" t="n"/>
      <c r="L225" s="2" t="n"/>
      <c r="M225" s="2" t="n"/>
      <c r="N225" s="2" t="n"/>
    </row>
    <row r="226" ht="14.25" customHeight="1" s="46">
      <c r="A226" s="2" t="n"/>
      <c r="B226" s="2" t="n"/>
      <c r="C226" s="2" t="n"/>
      <c r="D226" s="2" t="n"/>
      <c r="E226" s="2" t="n"/>
      <c r="F226" s="2" t="n"/>
      <c r="G226" s="2" t="n"/>
      <c r="H226" s="2" t="n"/>
      <c r="I226" s="2" t="n"/>
      <c r="J226" s="2" t="n"/>
      <c r="K226" s="2" t="n"/>
      <c r="L226" s="2" t="n"/>
      <c r="M226" s="2" t="n"/>
      <c r="N226" s="2" t="n"/>
    </row>
    <row r="227" ht="14.25" customHeight="1" s="46">
      <c r="A227" s="2" t="n"/>
      <c r="B227" s="2" t="n"/>
      <c r="C227" s="2" t="n"/>
      <c r="D227" s="2" t="n"/>
      <c r="E227" s="2" t="n"/>
      <c r="F227" s="2" t="n"/>
      <c r="G227" s="2" t="n"/>
      <c r="H227" s="2" t="n"/>
      <c r="I227" s="2" t="n"/>
      <c r="J227" s="2" t="n"/>
      <c r="K227" s="2" t="n"/>
      <c r="L227" s="2" t="n"/>
      <c r="M227" s="2" t="n"/>
      <c r="N227" s="2" t="n"/>
    </row>
    <row r="228" ht="14.25" customHeight="1" s="46">
      <c r="A228" s="2" t="n"/>
      <c r="B228" s="2" t="n"/>
      <c r="C228" s="2" t="n"/>
      <c r="D228" s="2" t="n"/>
      <c r="E228" s="2" t="n"/>
      <c r="F228" s="2" t="n"/>
      <c r="G228" s="2" t="n"/>
      <c r="H228" s="2" t="n"/>
      <c r="I228" s="2" t="n"/>
      <c r="J228" s="2" t="n"/>
      <c r="K228" s="2" t="n"/>
      <c r="L228" s="2" t="n"/>
      <c r="M228" s="2" t="n"/>
      <c r="N228" s="2" t="n"/>
    </row>
    <row r="229" ht="14.25" customHeight="1" s="46">
      <c r="A229" s="2" t="n"/>
      <c r="B229" s="2" t="n"/>
      <c r="C229" s="2" t="n"/>
      <c r="D229" s="2" t="n"/>
      <c r="E229" s="2" t="n"/>
      <c r="F229" s="2" t="n"/>
      <c r="G229" s="2" t="n"/>
      <c r="H229" s="2" t="n"/>
      <c r="I229" s="2" t="n"/>
      <c r="J229" s="2" t="n"/>
      <c r="K229" s="2" t="n"/>
      <c r="L229" s="2" t="n"/>
      <c r="M229" s="2" t="n"/>
      <c r="N229" s="2" t="n"/>
    </row>
    <row r="230" ht="14.25" customHeight="1" s="46">
      <c r="A230" s="2" t="n"/>
      <c r="B230" s="2" t="n"/>
      <c r="C230" s="2" t="n"/>
      <c r="D230" s="2" t="n"/>
      <c r="E230" s="2" t="n"/>
      <c r="F230" s="2" t="n"/>
      <c r="G230" s="2" t="n"/>
      <c r="H230" s="2" t="n"/>
      <c r="I230" s="2" t="n"/>
      <c r="J230" s="2" t="n"/>
      <c r="K230" s="2" t="n"/>
      <c r="L230" s="2" t="n"/>
      <c r="M230" s="2" t="n"/>
      <c r="N230" s="2" t="n"/>
    </row>
    <row r="231" ht="14.25" customHeight="1" s="46">
      <c r="A231" s="2" t="n"/>
      <c r="B231" s="2" t="n"/>
      <c r="C231" s="2" t="n"/>
      <c r="D231" s="2" t="n"/>
      <c r="E231" s="2" t="n"/>
      <c r="F231" s="2" t="n"/>
      <c r="G231" s="2" t="n"/>
      <c r="H231" s="2" t="n"/>
      <c r="I231" s="2" t="n"/>
      <c r="J231" s="2" t="n"/>
      <c r="K231" s="2" t="n"/>
      <c r="L231" s="2" t="n"/>
      <c r="M231" s="2" t="n"/>
      <c r="N231" s="2" t="n"/>
    </row>
    <row r="232" ht="14.25" customHeight="1" s="46">
      <c r="A232" s="2" t="n"/>
      <c r="B232" s="2" t="n"/>
      <c r="C232" s="2" t="n"/>
      <c r="D232" s="2" t="n"/>
      <c r="E232" s="2" t="n"/>
      <c r="F232" s="2" t="n"/>
      <c r="G232" s="2" t="n"/>
      <c r="H232" s="2" t="n"/>
      <c r="I232" s="2" t="n"/>
      <c r="J232" s="2" t="n"/>
      <c r="K232" s="2" t="n"/>
      <c r="L232" s="2" t="n"/>
      <c r="M232" s="2" t="n"/>
      <c r="N232" s="2" t="n"/>
    </row>
    <row r="233" ht="14.25" customHeight="1" s="46">
      <c r="A233" s="2" t="n"/>
      <c r="B233" s="2" t="n"/>
      <c r="C233" s="2" t="n"/>
      <c r="D233" s="2" t="n"/>
      <c r="E233" s="2" t="n"/>
      <c r="F233" s="2" t="n"/>
      <c r="G233" s="2" t="n"/>
      <c r="H233" s="2" t="n"/>
      <c r="I233" s="2" t="n"/>
      <c r="J233" s="2" t="n"/>
      <c r="K233" s="2" t="n"/>
      <c r="L233" s="2" t="n"/>
      <c r="M233" s="2" t="n"/>
      <c r="N233" s="2" t="n"/>
    </row>
    <row r="234" ht="14.25" customHeight="1" s="46">
      <c r="A234" s="2" t="n"/>
      <c r="B234" s="2" t="n"/>
      <c r="C234" s="2" t="n"/>
      <c r="D234" s="2" t="n"/>
      <c r="E234" s="2" t="n"/>
      <c r="F234" s="2" t="n"/>
      <c r="G234" s="2" t="n"/>
      <c r="H234" s="2" t="n"/>
      <c r="I234" s="2" t="n"/>
      <c r="J234" s="2" t="n"/>
      <c r="K234" s="2" t="n"/>
      <c r="L234" s="2" t="n"/>
      <c r="M234" s="2" t="n"/>
      <c r="N234" s="2" t="n"/>
    </row>
    <row r="235" ht="14.25" customHeight="1" s="46">
      <c r="A235" s="2" t="n"/>
      <c r="B235" s="2" t="n"/>
      <c r="C235" s="2" t="n"/>
      <c r="D235" s="2" t="n"/>
      <c r="E235" s="2" t="n"/>
      <c r="F235" s="2" t="n"/>
      <c r="G235" s="2" t="n"/>
      <c r="H235" s="2" t="n"/>
      <c r="I235" s="2" t="n"/>
      <c r="J235" s="2" t="n"/>
      <c r="K235" s="2" t="n"/>
      <c r="L235" s="2" t="n"/>
      <c r="M235" s="2" t="n"/>
      <c r="N235" s="2" t="n"/>
    </row>
    <row r="236" ht="14.25" customHeight="1" s="46">
      <c r="A236" s="2" t="n"/>
      <c r="B236" s="2" t="n"/>
      <c r="C236" s="2" t="n"/>
      <c r="D236" s="2" t="n"/>
      <c r="E236" s="2" t="n"/>
      <c r="F236" s="2" t="n"/>
      <c r="G236" s="2" t="n"/>
      <c r="H236" s="2" t="n"/>
      <c r="I236" s="2" t="n"/>
      <c r="J236" s="2" t="n"/>
      <c r="K236" s="2" t="n"/>
      <c r="L236" s="2" t="n"/>
      <c r="M236" s="2" t="n"/>
      <c r="N236" s="2" t="n"/>
    </row>
    <row r="237" ht="14.25" customHeight="1" s="46">
      <c r="A237" s="2" t="n"/>
      <c r="B237" s="2" t="n"/>
      <c r="C237" s="2" t="n"/>
      <c r="D237" s="2" t="n"/>
      <c r="E237" s="2" t="n"/>
      <c r="F237" s="2" t="n"/>
      <c r="G237" s="2" t="n"/>
      <c r="H237" s="2" t="n"/>
      <c r="I237" s="2" t="n"/>
      <c r="J237" s="2" t="n"/>
      <c r="K237" s="2" t="n"/>
      <c r="L237" s="2" t="n"/>
      <c r="M237" s="2" t="n"/>
      <c r="N237" s="2" t="n"/>
    </row>
    <row r="238" ht="14.25" customHeight="1" s="46">
      <c r="A238" s="2" t="n"/>
      <c r="B238" s="2" t="n"/>
      <c r="C238" s="2" t="n"/>
      <c r="D238" s="2" t="n"/>
      <c r="E238" s="2" t="n"/>
      <c r="F238" s="2" t="n"/>
      <c r="G238" s="2" t="n"/>
      <c r="H238" s="2" t="n"/>
      <c r="I238" s="2" t="n"/>
      <c r="J238" s="2" t="n"/>
      <c r="K238" s="2" t="n"/>
      <c r="L238" s="2" t="n"/>
      <c r="M238" s="2" t="n"/>
      <c r="N238" s="2" t="n"/>
    </row>
    <row r="239" ht="14.25" customHeight="1" s="46">
      <c r="A239" s="2" t="n"/>
      <c r="B239" s="2" t="n"/>
      <c r="C239" s="2" t="n"/>
      <c r="D239" s="2" t="n"/>
      <c r="E239" s="2" t="n"/>
      <c r="F239" s="2" t="n"/>
      <c r="G239" s="2" t="n"/>
      <c r="H239" s="2" t="n"/>
      <c r="I239" s="2" t="n"/>
      <c r="J239" s="2" t="n"/>
      <c r="K239" s="2" t="n"/>
      <c r="L239" s="2" t="n"/>
      <c r="M239" s="2" t="n"/>
      <c r="N239" s="2" t="n"/>
    </row>
    <row r="240" ht="14.25" customHeight="1" s="46">
      <c r="A240" s="2" t="n"/>
      <c r="B240" s="2" t="n"/>
      <c r="C240" s="2" t="n"/>
      <c r="D240" s="2" t="n"/>
      <c r="E240" s="2" t="n"/>
      <c r="F240" s="2" t="n"/>
      <c r="G240" s="2" t="n"/>
      <c r="H240" s="2" t="n"/>
      <c r="I240" s="2" t="n"/>
      <c r="J240" s="2" t="n"/>
      <c r="K240" s="2" t="n"/>
      <c r="L240" s="2" t="n"/>
      <c r="M240" s="2" t="n"/>
      <c r="N240" s="2" t="n"/>
    </row>
    <row r="241" ht="14.25" customHeight="1" s="46">
      <c r="A241" s="2" t="n"/>
      <c r="B241" s="2" t="n"/>
      <c r="C241" s="2" t="n"/>
      <c r="D241" s="2" t="n"/>
      <c r="E241" s="2" t="n"/>
      <c r="F241" s="2" t="n"/>
      <c r="G241" s="2" t="n"/>
      <c r="H241" s="2" t="n"/>
      <c r="I241" s="2" t="n"/>
      <c r="J241" s="2" t="n"/>
      <c r="K241" s="2" t="n"/>
      <c r="L241" s="2" t="n"/>
      <c r="M241" s="2" t="n"/>
      <c r="N241" s="2" t="n"/>
    </row>
    <row r="242" ht="14.25" customHeight="1" s="46">
      <c r="A242" s="2" t="n"/>
      <c r="B242" s="2" t="n"/>
      <c r="C242" s="2" t="n"/>
      <c r="D242" s="2" t="n"/>
      <c r="E242" s="2" t="n"/>
      <c r="F242" s="2" t="n"/>
      <c r="G242" s="2" t="n"/>
      <c r="H242" s="2" t="n"/>
      <c r="I242" s="2" t="n"/>
      <c r="J242" s="2" t="n"/>
      <c r="K242" s="2" t="n"/>
      <c r="L242" s="2" t="n"/>
      <c r="M242" s="2" t="n"/>
      <c r="N242" s="2" t="n"/>
    </row>
    <row r="243" ht="14.25" customHeight="1" s="46">
      <c r="A243" s="2" t="n"/>
      <c r="B243" s="2" t="n"/>
      <c r="C243" s="2" t="n"/>
      <c r="D243" s="2" t="n"/>
      <c r="E243" s="2" t="n"/>
      <c r="F243" s="2" t="n"/>
      <c r="G243" s="2" t="n"/>
      <c r="H243" s="2" t="n"/>
      <c r="I243" s="2" t="n"/>
      <c r="J243" s="2" t="n"/>
      <c r="K243" s="2" t="n"/>
      <c r="L243" s="2" t="n"/>
      <c r="M243" s="2" t="n"/>
      <c r="N243" s="2" t="n"/>
    </row>
    <row r="244" ht="14.25" customHeight="1" s="46">
      <c r="A244" s="2" t="n"/>
      <c r="B244" s="2" t="n"/>
      <c r="C244" s="2" t="n"/>
      <c r="D244" s="2" t="n"/>
      <c r="E244" s="2" t="n"/>
      <c r="F244" s="2" t="n"/>
      <c r="G244" s="2" t="n"/>
      <c r="H244" s="2" t="n"/>
      <c r="I244" s="2" t="n"/>
      <c r="J244" s="2" t="n"/>
      <c r="K244" s="2" t="n"/>
      <c r="L244" s="2" t="n"/>
      <c r="M244" s="2" t="n"/>
      <c r="N244" s="2" t="n"/>
    </row>
    <row r="245" ht="14.25" customHeight="1" s="46">
      <c r="A245" s="2" t="n"/>
      <c r="B245" s="2" t="n"/>
      <c r="C245" s="2" t="n"/>
      <c r="D245" s="2" t="n"/>
      <c r="E245" s="2" t="n"/>
      <c r="F245" s="2" t="n"/>
      <c r="G245" s="2" t="n"/>
      <c r="H245" s="2" t="n"/>
      <c r="I245" s="2" t="n"/>
      <c r="J245" s="2" t="n"/>
      <c r="K245" s="2" t="n"/>
      <c r="L245" s="2" t="n"/>
      <c r="M245" s="2" t="n"/>
      <c r="N245" s="2" t="n"/>
    </row>
    <row r="246" ht="14.25" customHeight="1" s="46">
      <c r="A246" s="2" t="n"/>
      <c r="B246" s="2" t="n"/>
      <c r="C246" s="2" t="n"/>
      <c r="D246" s="2" t="n"/>
      <c r="E246" s="2" t="n"/>
      <c r="F246" s="2" t="n"/>
      <c r="G246" s="2" t="n"/>
      <c r="H246" s="2" t="n"/>
      <c r="I246" s="2" t="n"/>
      <c r="J246" s="2" t="n"/>
      <c r="K246" s="2" t="n"/>
      <c r="L246" s="2" t="n"/>
      <c r="M246" s="2" t="n"/>
      <c r="N246" s="2" t="n"/>
    </row>
    <row r="247" ht="14.25" customHeight="1" s="46">
      <c r="A247" s="2" t="n"/>
      <c r="B247" s="2" t="n"/>
      <c r="C247" s="2" t="n"/>
      <c r="D247" s="2" t="n"/>
      <c r="E247" s="2" t="n"/>
      <c r="F247" s="2" t="n"/>
      <c r="G247" s="2" t="n"/>
      <c r="H247" s="2" t="n"/>
      <c r="I247" s="2" t="n"/>
      <c r="J247" s="2" t="n"/>
      <c r="K247" s="2" t="n"/>
      <c r="L247" s="2" t="n"/>
      <c r="M247" s="2" t="n"/>
      <c r="N247" s="2" t="n"/>
    </row>
    <row r="248" ht="14.25" customHeight="1" s="46">
      <c r="A248" s="2" t="n"/>
      <c r="B248" s="2" t="n"/>
      <c r="C248" s="2" t="n"/>
      <c r="D248" s="2" t="n"/>
      <c r="E248" s="2" t="n"/>
      <c r="F248" s="2" t="n"/>
      <c r="G248" s="2" t="n"/>
      <c r="H248" s="2" t="n"/>
      <c r="I248" s="2" t="n"/>
      <c r="J248" s="2" t="n"/>
      <c r="K248" s="2" t="n"/>
      <c r="L248" s="2" t="n"/>
      <c r="M248" s="2" t="n"/>
      <c r="N248" s="2" t="n"/>
    </row>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dataValidations count="1">
    <dataValidation sqref="G5:G46" showDropDown="0" showInputMessage="0" showErrorMessage="0" allowBlank="1" type="list">
      <formula1>"start,Hamlet,Village,Town,Borough,City"</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G220"/>
  <sheetViews>
    <sheetView workbookViewId="0">
      <pane ySplit="4" topLeftCell="A5" activePane="bottomLeft" state="frozen"/>
      <selection pane="bottomLeft" activeCell="B6" sqref="B6"/>
    </sheetView>
  </sheetViews>
  <sheetFormatPr baseColWidth="8" defaultColWidth="14.43" defaultRowHeight="15" customHeight="1"/>
  <cols>
    <col width="24" customWidth="1" style="46" min="1" max="1"/>
    <col width="12" customWidth="1" style="46" min="2" max="2"/>
    <col width="11" customWidth="1" style="46" min="3" max="3"/>
    <col width="12" customWidth="1" style="46" min="4" max="4"/>
    <col width="16" customWidth="1" style="46" min="5" max="5"/>
    <col width="9" customWidth="1" style="46" min="6" max="7"/>
  </cols>
  <sheetData>
    <row r="1" ht="17.25" customHeight="1" s="46">
      <c r="A1" s="1" t="inlineStr">
        <is>
          <t>Steps 1-2: can each home level's essentials be learned by the time it opens?</t>
        </is>
      </c>
      <c r="B1" s="2" t="n"/>
      <c r="C1" s="2" t="n"/>
      <c r="D1" s="2" t="n"/>
      <c r="E1" s="2" t="n"/>
      <c r="F1" s="2" t="n"/>
      <c r="G1" s="2" t="n"/>
    </row>
    <row r="2" ht="15" customHeight="1" s="46">
      <c r="A2" s="3" t="inlineStr">
        <is>
          <t>Counts the basic lines, civic buildings and step 3. Rank-gated, charter or free unlocks cost no knowledge (G6).</t>
        </is>
      </c>
      <c r="B2" s="2" t="n"/>
      <c r="C2" s="2" t="n"/>
      <c r="D2" s="2" t="n"/>
      <c r="E2" s="2" t="n"/>
      <c r="F2" s="2" t="n"/>
      <c r="G2" s="2" t="n"/>
    </row>
    <row r="3" ht="14.25" customHeight="1" s="46">
      <c r="A3" s="2" t="n"/>
      <c r="B3" s="2" t="n"/>
      <c r="C3" s="2" t="n"/>
      <c r="D3" s="2" t="n"/>
      <c r="E3" s="2" t="n"/>
      <c r="F3" s="2" t="n"/>
      <c r="G3" s="2" t="n"/>
    </row>
    <row r="4" ht="34.5" customHeight="1" s="46">
      <c r="A4" s="9" t="inlineStr">
        <is>
          <t>Needed for</t>
        </is>
      </c>
      <c r="B4" s="9" t="inlineStr">
        <is>
          <t>Opens at</t>
        </is>
      </c>
      <c r="C4" s="9" t="inlineStr">
        <is>
          <t>Essential unlocks</t>
        </is>
      </c>
      <c r="D4" s="9" t="inlineStr">
        <is>
          <t>Knowledge for them</t>
        </is>
      </c>
      <c r="E4" s="9" t="inlineStr">
        <is>
          <t>Knowledge earned before it opens</t>
        </is>
      </c>
      <c r="F4" s="9" t="inlineStr">
        <is>
          <t>Fits?</t>
        </is>
      </c>
      <c r="G4" s="9" t="inlineStr">
        <is>
          <t>Spare</t>
        </is>
      </c>
    </row>
    <row r="5" ht="15" customHeight="1" s="46">
      <c r="A5" s="7" t="inlineStr">
        <is>
          <t>Timber House</t>
        </is>
      </c>
      <c r="B5" s="7" t="inlineStr">
        <is>
          <t>Village</t>
        </is>
      </c>
      <c r="C5" s="7">
        <f>COUNTIF('1 Basic lines'!$K$5:$K$46,A5)+COUNTIF('2 Civic'!$I$5:$I$30,A5)+COUNTIF('3 Mixed &amp; late'!$I$5:$I$12,A5)</f>
        <v/>
      </c>
      <c r="D5" s="18">
        <f>SUMIF('1 Basic lines'!$K$5:$K$46,A5,'1 Basic lines'!$H$5:$H$46)+SUMIF('2 Civic'!$I$5:$I$30,A5,'2 Civic'!$E$5:$E$30)+SUMIF('3 Mixed &amp; late'!$I$5:$I$12,A5,'3 Mixed &amp; late'!$G$5:$G$12)</f>
        <v/>
      </c>
      <c r="E5" s="18">
        <f>'0 Stages'!H5</f>
        <v/>
      </c>
      <c r="F5" s="7">
        <f>IF(D5&lt;=E5,"Yes","No")</f>
        <v/>
      </c>
      <c r="G5" s="18">
        <f>E5-D5</f>
        <v/>
      </c>
    </row>
    <row r="6" ht="15" customHeight="1" s="46">
      <c r="A6" s="7" t="inlineStr">
        <is>
          <t>Townhouse</t>
        </is>
      </c>
      <c r="B6" s="7" t="inlineStr">
        <is>
          <t>Town</t>
        </is>
      </c>
      <c r="C6" s="7">
        <f>COUNTIF('1 Basic lines'!$K$5:$K$46,A6)+COUNTIF('2 Civic'!$I$5:$I$30,A6)+COUNTIF('3 Mixed &amp; late'!$I$5:$I$12,A6)</f>
        <v/>
      </c>
      <c r="D6" s="18">
        <f>SUMIF('1 Basic lines'!$K$5:$K$46,A6,'1 Basic lines'!$H$5:$H$46)+SUMIF('2 Civic'!$I$5:$I$30,A6,'2 Civic'!$E$5:$E$30)+SUMIF('3 Mixed &amp; late'!$I$5:$I$12,A6,'3 Mixed &amp; late'!$G$5:$G$12)</f>
        <v/>
      </c>
      <c r="E6" s="18">
        <f>'0 Stages'!H5+'0 Stages'!H6</f>
        <v/>
      </c>
      <c r="F6" s="7">
        <f>IF(D6&lt;=E6,"Yes","No")</f>
        <v/>
      </c>
      <c r="G6" s="18">
        <f>E6-D6</f>
        <v/>
      </c>
    </row>
    <row r="7" ht="15" customHeight="1" s="46">
      <c r="A7" s="7" t="inlineStr">
        <is>
          <t>Administrative buildings</t>
        </is>
      </c>
      <c r="B7" s="7" t="inlineStr">
        <is>
          <t>Town</t>
        </is>
      </c>
      <c r="C7" s="7">
        <f>COUNTIF('1 Basic lines'!$K$5:$K$46,A7)+COUNTIF('2 Civic'!$I$5:$I$30,A7)+COUNTIF('3 Mixed &amp; late'!$I$5:$I$12,A7)</f>
        <v/>
      </c>
      <c r="D7" s="18">
        <f>SUMIF('1 Basic lines'!$K$5:$K$46,A7,'1 Basic lines'!$H$5:$H$46)+SUMIF('2 Civic'!$I$5:$I$30,A7,'2 Civic'!$E$5:$E$30)+SUMIF('3 Mixed &amp; late'!$I$5:$I$12,A7,'3 Mixed &amp; late'!$G$5:$G$12)</f>
        <v/>
      </c>
      <c r="E7" s="18">
        <f>'0 Stages'!H5+'0 Stages'!H6</f>
        <v/>
      </c>
      <c r="F7" s="7">
        <f>IF(D7&lt;=E7,"Yes","No")</f>
        <v/>
      </c>
      <c r="G7" s="18">
        <f>E7-D7</f>
        <v/>
      </c>
    </row>
    <row r="8" ht="15" customHeight="1" s="46">
      <c r="A8" s="7" t="inlineStr">
        <is>
          <t>Merchant's House</t>
        </is>
      </c>
      <c r="B8" s="7" t="inlineStr">
        <is>
          <t>Borough</t>
        </is>
      </c>
      <c r="C8" s="7">
        <f>COUNTIF('1 Basic lines'!$K$5:$K$46,A8)+COUNTIF('2 Civic'!$I$5:$I$30,A8)+COUNTIF('3 Mixed &amp; late'!$I$5:$I$12,A8)</f>
        <v/>
      </c>
      <c r="D8" s="18">
        <f>SUMIF('1 Basic lines'!$K$5:$K$46,A8,'1 Basic lines'!$H$5:$H$46)+SUMIF('2 Civic'!$I$5:$I$30,A8,'2 Civic'!$E$5:$E$30)+SUMIF('3 Mixed &amp; late'!$I$5:$I$12,A8,'3 Mixed &amp; late'!$G$5:$G$12)</f>
        <v/>
      </c>
      <c r="E8" s="18">
        <f>'0 Stages'!H5+'0 Stages'!H6+'0 Stages'!H7</f>
        <v/>
      </c>
      <c r="F8" s="7">
        <f>IF(D8&lt;=E8,"Yes","No")</f>
        <v/>
      </c>
      <c r="G8" s="18">
        <f>E8-D8</f>
        <v/>
      </c>
    </row>
    <row r="9" ht="14.25" customHeight="1" s="46">
      <c r="A9" s="20" t="inlineStr">
        <is>
          <t>Patrician House</t>
        </is>
      </c>
      <c r="B9" s="20" t="inlineStr">
        <is>
          <t>City</t>
        </is>
      </c>
      <c r="C9" s="20">
        <f>COUNTIF('3 Mixed &amp; late'!$I$5:$I$12,A9)</f>
        <v/>
      </c>
      <c r="D9" s="22">
        <f>SUMIF('3 Mixed &amp; late'!$I$5:$I$12,A9,'3 Mixed &amp; late'!$G$5:$G$12)</f>
        <v/>
      </c>
      <c r="E9" s="22">
        <f>'0 Stages'!H5+'0 Stages'!H6+'0 Stages'!H7+'0 Stages'!H8</f>
        <v/>
      </c>
      <c r="F9" s="20">
        <f>IF(D9&lt;=E9,"Yes","No")</f>
        <v/>
      </c>
      <c r="G9" s="22">
        <f>E9-D9</f>
        <v/>
      </c>
    </row>
    <row r="10" ht="15" customHeight="1" s="46">
      <c r="A10" s="24" t="inlineStr">
        <is>
          <t>Every unlock in steps 1-3</t>
        </is>
      </c>
      <c r="B10" s="24" t="inlineStr">
        <is>
          <t>end of Town</t>
        </is>
      </c>
      <c r="C10" s="24">
        <f>COUNT('1 Basic lines'!$H$5:$H$46)+COUNT('2 Civic'!$E$5:$E$30)+COUNT('3 Mixed &amp; late'!$G$5:$G$12)</f>
        <v/>
      </c>
      <c r="D10" s="25">
        <f>SUM('1 Basic lines'!$H$5:$H$46)+SUM('2 Civic'!$E$5:$E$30)+SUM('3 Mixed &amp; late'!$G$5:$G$12)</f>
        <v/>
      </c>
      <c r="E10" s="25">
        <f>'0 Stages'!H5+'0 Stages'!H6+'0 Stages'!H7</f>
        <v/>
      </c>
      <c r="F10" s="24">
        <f>IF(D10&lt;=E10,"Yes","No")</f>
        <v/>
      </c>
      <c r="G10" s="25">
        <f>E10-D10</f>
        <v/>
      </c>
    </row>
    <row r="11" ht="14.25" customHeight="1" s="46">
      <c r="A11" s="2" t="n"/>
      <c r="B11" s="2" t="n"/>
      <c r="C11" s="2" t="n"/>
      <c r="D11" s="2" t="n"/>
      <c r="E11" s="2" t="n"/>
      <c r="F11" s="2" t="n"/>
      <c r="G11" s="2" t="n"/>
    </row>
    <row r="12" ht="15" customHeight="1" s="46">
      <c r="A12" s="3" t="inlineStr">
        <is>
          <t>Timber House: a wooden church (Village rank), a well (free) and two food groups, so only what column K marks costs knowledge.</t>
        </is>
      </c>
      <c r="B12" s="2" t="n"/>
      <c r="C12" s="2" t="n"/>
      <c r="D12" s="2" t="n"/>
      <c r="E12" s="2" t="n"/>
      <c r="F12" s="2" t="n"/>
      <c r="G12" s="2" t="n"/>
    </row>
    <row r="13" ht="15" customHeight="1" s="46">
      <c r="A13" s="3" t="inlineStr">
        <is>
          <t>Townhouse: boots moved up and tools can be imported, so the iron line is no longer essential for it.</t>
        </is>
      </c>
      <c r="B13" s="2" t="n"/>
      <c r="C13" s="2" t="n"/>
      <c r="D13" s="2" t="n"/>
      <c r="E13" s="2" t="n"/>
      <c r="F13" s="2" t="n"/>
      <c r="G13" s="2" t="n"/>
    </row>
    <row r="14" ht="14.25" customHeight="1" s="46">
      <c r="A14" s="2" t="n"/>
      <c r="B14" s="2" t="n"/>
      <c r="C14" s="2" t="n"/>
      <c r="D14" s="2" t="n"/>
      <c r="E14" s="2" t="n"/>
      <c r="F14" s="2" t="n"/>
      <c r="G14" s="2" t="n"/>
    </row>
    <row r="15" ht="14.25" customHeight="1" s="46">
      <c r="A15" s="2" t="n"/>
      <c r="B15" s="2" t="n"/>
      <c r="C15" s="2" t="n"/>
      <c r="D15" s="2" t="n"/>
      <c r="E15" s="2" t="n"/>
      <c r="F15" s="2" t="n"/>
      <c r="G15" s="2" t="n"/>
    </row>
    <row r="16" ht="14.25" customHeight="1" s="46">
      <c r="A16" s="2" t="n"/>
      <c r="B16" s="2" t="n"/>
      <c r="C16" s="2" t="n"/>
      <c r="D16" s="2" t="n"/>
      <c r="E16" s="2" t="n"/>
      <c r="F16" s="2" t="n"/>
      <c r="G16" s="2" t="n"/>
    </row>
    <row r="17" ht="14.25" customHeight="1" s="46">
      <c r="A17" s="2" t="n"/>
      <c r="B17" s="2" t="n"/>
      <c r="C17" s="2" t="n"/>
      <c r="D17" s="2" t="n"/>
      <c r="E17" s="2" t="n"/>
      <c r="F17" s="2" t="n"/>
      <c r="G17" s="2" t="n"/>
    </row>
    <row r="18" ht="14.25" customHeight="1" s="46">
      <c r="A18" s="2" t="n"/>
      <c r="B18" s="2" t="n"/>
      <c r="C18" s="2" t="n"/>
      <c r="D18" s="2" t="n"/>
      <c r="E18" s="2" t="n"/>
      <c r="F18" s="2" t="n"/>
      <c r="G18" s="2" t="n"/>
    </row>
    <row r="19" ht="14.25" customHeight="1" s="46">
      <c r="A19" s="2" t="n"/>
      <c r="B19" s="2" t="n"/>
      <c r="C19" s="2" t="n"/>
      <c r="D19" s="2" t="n"/>
      <c r="E19" s="2" t="n"/>
      <c r="F19" s="2" t="n"/>
      <c r="G19" s="2" t="n"/>
    </row>
    <row r="20" ht="14.25" customHeight="1" s="46">
      <c r="A20" s="2" t="n"/>
      <c r="B20" s="2" t="n"/>
      <c r="C20" s="2" t="n"/>
      <c r="D20" s="2" t="n"/>
      <c r="E20" s="2" t="n"/>
      <c r="F20" s="2" t="n"/>
      <c r="G20" s="2" t="n"/>
    </row>
    <row r="21" ht="14.25" customHeight="1" s="46">
      <c r="A21" s="2" t="n"/>
      <c r="B21" s="2" t="n"/>
      <c r="C21" s="2" t="n"/>
      <c r="D21" s="2" t="n"/>
      <c r="E21" s="2" t="n"/>
      <c r="F21" s="2" t="n"/>
      <c r="G21" s="2" t="n"/>
    </row>
    <row r="22" ht="14.25" customHeight="1" s="46">
      <c r="A22" s="2" t="n"/>
      <c r="B22" s="2" t="n"/>
      <c r="C22" s="2" t="n"/>
      <c r="D22" s="2" t="n"/>
      <c r="E22" s="2" t="n"/>
      <c r="F22" s="2" t="n"/>
      <c r="G22" s="2" t="n"/>
    </row>
    <row r="23" ht="14.25" customHeight="1" s="46">
      <c r="A23" s="2" t="n"/>
      <c r="B23" s="2" t="n"/>
      <c r="C23" s="2" t="n"/>
      <c r="D23" s="2" t="n"/>
      <c r="E23" s="2" t="n"/>
      <c r="F23" s="2" t="n"/>
      <c r="G23" s="2" t="n"/>
    </row>
    <row r="24" ht="14.25" customHeight="1" s="46">
      <c r="A24" s="2" t="n"/>
      <c r="B24" s="2" t="n"/>
      <c r="C24" s="2" t="n"/>
      <c r="D24" s="2" t="n"/>
      <c r="E24" s="2" t="n"/>
      <c r="F24" s="2" t="n"/>
      <c r="G24" s="2" t="n"/>
    </row>
    <row r="25" ht="14.25" customHeight="1" s="46">
      <c r="A25" s="2" t="n"/>
      <c r="B25" s="2" t="n"/>
      <c r="C25" s="2" t="n"/>
      <c r="D25" s="2" t="n"/>
      <c r="E25" s="2" t="n"/>
      <c r="F25" s="2" t="n"/>
      <c r="G25" s="2" t="n"/>
    </row>
    <row r="26" ht="14.25" customHeight="1" s="46">
      <c r="A26" s="2" t="n"/>
      <c r="B26" s="2" t="n"/>
      <c r="C26" s="2" t="n"/>
      <c r="D26" s="2" t="n"/>
      <c r="E26" s="2" t="n"/>
      <c r="F26" s="2" t="n"/>
      <c r="G26" s="2" t="n"/>
    </row>
    <row r="27" ht="14.25" customHeight="1" s="46">
      <c r="A27" s="2" t="n"/>
      <c r="B27" s="2" t="n"/>
      <c r="C27" s="2" t="n"/>
      <c r="D27" s="2" t="n"/>
      <c r="E27" s="2" t="n"/>
      <c r="F27" s="2" t="n"/>
      <c r="G27" s="2" t="n"/>
    </row>
    <row r="28" ht="14.25" customHeight="1" s="46">
      <c r="A28" s="2" t="n"/>
      <c r="B28" s="2" t="n"/>
      <c r="C28" s="2" t="n"/>
      <c r="D28" s="2" t="n"/>
      <c r="E28" s="2" t="n"/>
      <c r="F28" s="2" t="n"/>
      <c r="G28" s="2" t="n"/>
    </row>
    <row r="29" ht="14.25" customHeight="1" s="46">
      <c r="A29" s="2" t="n"/>
      <c r="B29" s="2" t="n"/>
      <c r="C29" s="2" t="n"/>
      <c r="D29" s="2" t="n"/>
      <c r="E29" s="2" t="n"/>
      <c r="F29" s="2" t="n"/>
      <c r="G29" s="2" t="n"/>
    </row>
    <row r="30" ht="14.25" customHeight="1" s="46">
      <c r="A30" s="2" t="n"/>
      <c r="B30" s="2" t="n"/>
      <c r="C30" s="2" t="n"/>
      <c r="D30" s="2" t="n"/>
      <c r="E30" s="2" t="n"/>
      <c r="F30" s="2" t="n"/>
      <c r="G30" s="2" t="n"/>
    </row>
    <row r="31" ht="14.25" customHeight="1" s="46">
      <c r="A31" s="2" t="n"/>
      <c r="B31" s="2" t="n"/>
      <c r="C31" s="2" t="n"/>
      <c r="D31" s="2" t="n"/>
      <c r="E31" s="2" t="n"/>
      <c r="F31" s="2" t="n"/>
      <c r="G31" s="2" t="n"/>
    </row>
    <row r="32" ht="14.25" customHeight="1" s="46">
      <c r="A32" s="2" t="n"/>
      <c r="B32" s="2" t="n"/>
      <c r="C32" s="2" t="n"/>
      <c r="D32" s="2" t="n"/>
      <c r="E32" s="2" t="n"/>
      <c r="F32" s="2" t="n"/>
      <c r="G32" s="2" t="n"/>
    </row>
    <row r="33" ht="14.25" customHeight="1" s="46">
      <c r="A33" s="2" t="n"/>
      <c r="B33" s="2" t="n"/>
      <c r="C33" s="2" t="n"/>
      <c r="D33" s="2" t="n"/>
      <c r="E33" s="2" t="n"/>
      <c r="F33" s="2" t="n"/>
      <c r="G33" s="2" t="n"/>
    </row>
    <row r="34" ht="14.25" customHeight="1" s="46">
      <c r="A34" s="2" t="n"/>
      <c r="B34" s="2" t="n"/>
      <c r="C34" s="2" t="n"/>
      <c r="D34" s="2" t="n"/>
      <c r="E34" s="2" t="n"/>
      <c r="F34" s="2" t="n"/>
      <c r="G34" s="2" t="n"/>
    </row>
    <row r="35" ht="14.25" customHeight="1" s="46">
      <c r="A35" s="2" t="n"/>
      <c r="B35" s="2" t="n"/>
      <c r="C35" s="2" t="n"/>
      <c r="D35" s="2" t="n"/>
      <c r="E35" s="2" t="n"/>
      <c r="F35" s="2" t="n"/>
      <c r="G35" s="2" t="n"/>
    </row>
    <row r="36" ht="14.25" customHeight="1" s="46">
      <c r="A36" s="2" t="n"/>
      <c r="B36" s="2" t="n"/>
      <c r="C36" s="2" t="n"/>
      <c r="D36" s="2" t="n"/>
      <c r="E36" s="2" t="n"/>
      <c r="F36" s="2" t="n"/>
      <c r="G36" s="2" t="n"/>
    </row>
    <row r="37" ht="14.25" customHeight="1" s="46">
      <c r="A37" s="2" t="n"/>
      <c r="B37" s="2" t="n"/>
      <c r="C37" s="2" t="n"/>
      <c r="D37" s="2" t="n"/>
      <c r="E37" s="2" t="n"/>
      <c r="F37" s="2" t="n"/>
      <c r="G37" s="2" t="n"/>
    </row>
    <row r="38" ht="14.25" customHeight="1" s="46">
      <c r="A38" s="2" t="n"/>
      <c r="B38" s="2" t="n"/>
      <c r="C38" s="2" t="n"/>
      <c r="D38" s="2" t="n"/>
      <c r="E38" s="2" t="n"/>
      <c r="F38" s="2" t="n"/>
      <c r="G38" s="2" t="n"/>
    </row>
    <row r="39" ht="14.25" customHeight="1" s="46">
      <c r="A39" s="2" t="n"/>
      <c r="B39" s="2" t="n"/>
      <c r="C39" s="2" t="n"/>
      <c r="D39" s="2" t="n"/>
      <c r="E39" s="2" t="n"/>
      <c r="F39" s="2" t="n"/>
      <c r="G39" s="2" t="n"/>
    </row>
    <row r="40" ht="14.25" customHeight="1" s="46">
      <c r="A40" s="2" t="n"/>
      <c r="B40" s="2" t="n"/>
      <c r="C40" s="2" t="n"/>
      <c r="D40" s="2" t="n"/>
      <c r="E40" s="2" t="n"/>
      <c r="F40" s="2" t="n"/>
      <c r="G40" s="2" t="n"/>
    </row>
    <row r="41" ht="14.25" customHeight="1" s="46">
      <c r="A41" s="2" t="n"/>
      <c r="B41" s="2" t="n"/>
      <c r="C41" s="2" t="n"/>
      <c r="D41" s="2" t="n"/>
      <c r="E41" s="2" t="n"/>
      <c r="F41" s="2" t="n"/>
      <c r="G41" s="2" t="n"/>
    </row>
    <row r="42" ht="14.25" customHeight="1" s="46">
      <c r="A42" s="2" t="n"/>
      <c r="B42" s="2" t="n"/>
      <c r="C42" s="2" t="n"/>
      <c r="D42" s="2" t="n"/>
      <c r="E42" s="2" t="n"/>
      <c r="F42" s="2" t="n"/>
      <c r="G42" s="2" t="n"/>
    </row>
    <row r="43" ht="14.25" customHeight="1" s="46">
      <c r="A43" s="2" t="n"/>
      <c r="B43" s="2" t="n"/>
      <c r="C43" s="2" t="n"/>
      <c r="D43" s="2" t="n"/>
      <c r="E43" s="2" t="n"/>
      <c r="F43" s="2" t="n"/>
      <c r="G43" s="2" t="n"/>
    </row>
    <row r="44" ht="14.25" customHeight="1" s="46">
      <c r="A44" s="2" t="n"/>
      <c r="B44" s="2" t="n"/>
      <c r="C44" s="2" t="n"/>
      <c r="D44" s="2" t="n"/>
      <c r="E44" s="2" t="n"/>
      <c r="F44" s="2" t="n"/>
      <c r="G44" s="2" t="n"/>
    </row>
    <row r="45" ht="14.25" customHeight="1" s="46">
      <c r="A45" s="2" t="n"/>
      <c r="B45" s="2" t="n"/>
      <c r="C45" s="2" t="n"/>
      <c r="D45" s="2" t="n"/>
      <c r="E45" s="2" t="n"/>
      <c r="F45" s="2" t="n"/>
      <c r="G45" s="2" t="n"/>
    </row>
    <row r="46" ht="14.25" customHeight="1" s="46">
      <c r="A46" s="2" t="n"/>
      <c r="B46" s="2" t="n"/>
      <c r="C46" s="2" t="n"/>
      <c r="D46" s="2" t="n"/>
      <c r="E46" s="2" t="n"/>
      <c r="F46" s="2" t="n"/>
      <c r="G46" s="2" t="n"/>
    </row>
    <row r="47" ht="14.25" customHeight="1" s="46">
      <c r="A47" s="2" t="n"/>
      <c r="B47" s="2" t="n"/>
      <c r="C47" s="2" t="n"/>
      <c r="D47" s="2" t="n"/>
      <c r="E47" s="2" t="n"/>
      <c r="F47" s="2" t="n"/>
      <c r="G47" s="2" t="n"/>
    </row>
    <row r="48" ht="14.25" customHeight="1" s="46">
      <c r="A48" s="2" t="n"/>
      <c r="B48" s="2" t="n"/>
      <c r="C48" s="2" t="n"/>
      <c r="D48" s="2" t="n"/>
      <c r="E48" s="2" t="n"/>
      <c r="F48" s="2" t="n"/>
      <c r="G48" s="2" t="n"/>
    </row>
    <row r="49" ht="14.25" customHeight="1" s="46">
      <c r="A49" s="2" t="n"/>
      <c r="B49" s="2" t="n"/>
      <c r="C49" s="2" t="n"/>
      <c r="D49" s="2" t="n"/>
      <c r="E49" s="2" t="n"/>
      <c r="F49" s="2" t="n"/>
      <c r="G49" s="2" t="n"/>
    </row>
    <row r="50" ht="14.25" customHeight="1" s="46">
      <c r="A50" s="2" t="n"/>
      <c r="B50" s="2" t="n"/>
      <c r="C50" s="2" t="n"/>
      <c r="D50" s="2" t="n"/>
      <c r="E50" s="2" t="n"/>
      <c r="F50" s="2" t="n"/>
      <c r="G50" s="2" t="n"/>
    </row>
    <row r="51" ht="14.25" customHeight="1" s="46">
      <c r="A51" s="2" t="n"/>
      <c r="B51" s="2" t="n"/>
      <c r="C51" s="2" t="n"/>
      <c r="D51" s="2" t="n"/>
      <c r="E51" s="2" t="n"/>
      <c r="F51" s="2" t="n"/>
      <c r="G51" s="2" t="n"/>
    </row>
    <row r="52" ht="14.25" customHeight="1" s="46">
      <c r="A52" s="2" t="n"/>
      <c r="B52" s="2" t="n"/>
      <c r="C52" s="2" t="n"/>
      <c r="D52" s="2" t="n"/>
      <c r="E52" s="2" t="n"/>
      <c r="F52" s="2" t="n"/>
      <c r="G52" s="2" t="n"/>
    </row>
    <row r="53" ht="14.25" customHeight="1" s="46">
      <c r="A53" s="2" t="n"/>
      <c r="B53" s="2" t="n"/>
      <c r="C53" s="2" t="n"/>
      <c r="D53" s="2" t="n"/>
      <c r="E53" s="2" t="n"/>
      <c r="F53" s="2" t="n"/>
      <c r="G53" s="2" t="n"/>
    </row>
    <row r="54" ht="14.25" customHeight="1" s="46">
      <c r="A54" s="2" t="n"/>
      <c r="B54" s="2" t="n"/>
      <c r="C54" s="2" t="n"/>
      <c r="D54" s="2" t="n"/>
      <c r="E54" s="2" t="n"/>
      <c r="F54" s="2" t="n"/>
      <c r="G54" s="2" t="n"/>
    </row>
    <row r="55" ht="14.25" customHeight="1" s="46">
      <c r="A55" s="2" t="n"/>
      <c r="B55" s="2" t="n"/>
      <c r="C55" s="2" t="n"/>
      <c r="D55" s="2" t="n"/>
      <c r="E55" s="2" t="n"/>
      <c r="F55" s="2" t="n"/>
      <c r="G55" s="2" t="n"/>
    </row>
    <row r="56" ht="14.25" customHeight="1" s="46">
      <c r="A56" s="2" t="n"/>
      <c r="B56" s="2" t="n"/>
      <c r="C56" s="2" t="n"/>
      <c r="D56" s="2" t="n"/>
      <c r="E56" s="2" t="n"/>
      <c r="F56" s="2" t="n"/>
      <c r="G56" s="2" t="n"/>
    </row>
    <row r="57" ht="14.25" customHeight="1" s="46">
      <c r="A57" s="2" t="n"/>
      <c r="B57" s="2" t="n"/>
      <c r="C57" s="2" t="n"/>
      <c r="D57" s="2" t="n"/>
      <c r="E57" s="2" t="n"/>
      <c r="F57" s="2" t="n"/>
      <c r="G57" s="2" t="n"/>
    </row>
    <row r="58" ht="14.25" customHeight="1" s="46">
      <c r="A58" s="2" t="n"/>
      <c r="B58" s="2" t="n"/>
      <c r="C58" s="2" t="n"/>
      <c r="D58" s="2" t="n"/>
      <c r="E58" s="2" t="n"/>
      <c r="F58" s="2" t="n"/>
      <c r="G58" s="2" t="n"/>
    </row>
    <row r="59" ht="14.25" customHeight="1" s="46">
      <c r="A59" s="2" t="n"/>
      <c r="B59" s="2" t="n"/>
      <c r="C59" s="2" t="n"/>
      <c r="D59" s="2" t="n"/>
      <c r="E59" s="2" t="n"/>
      <c r="F59" s="2" t="n"/>
      <c r="G59" s="2" t="n"/>
    </row>
    <row r="60" ht="14.25" customHeight="1" s="46">
      <c r="A60" s="2" t="n"/>
      <c r="B60" s="2" t="n"/>
      <c r="C60" s="2" t="n"/>
      <c r="D60" s="2" t="n"/>
      <c r="E60" s="2" t="n"/>
      <c r="F60" s="2" t="n"/>
      <c r="G60" s="2" t="n"/>
    </row>
    <row r="61" ht="14.25" customHeight="1" s="46">
      <c r="A61" s="2" t="n"/>
      <c r="B61" s="2" t="n"/>
      <c r="C61" s="2" t="n"/>
      <c r="D61" s="2" t="n"/>
      <c r="E61" s="2" t="n"/>
      <c r="F61" s="2" t="n"/>
      <c r="G61" s="2" t="n"/>
    </row>
    <row r="62" ht="14.25" customHeight="1" s="46">
      <c r="A62" s="2" t="n"/>
      <c r="B62" s="2" t="n"/>
      <c r="C62" s="2" t="n"/>
      <c r="D62" s="2" t="n"/>
      <c r="E62" s="2" t="n"/>
      <c r="F62" s="2" t="n"/>
      <c r="G62" s="2" t="n"/>
    </row>
    <row r="63" ht="14.25" customHeight="1" s="46">
      <c r="A63" s="2" t="n"/>
      <c r="B63" s="2" t="n"/>
      <c r="C63" s="2" t="n"/>
      <c r="D63" s="2" t="n"/>
      <c r="E63" s="2" t="n"/>
      <c r="F63" s="2" t="n"/>
      <c r="G63" s="2" t="n"/>
    </row>
    <row r="64" ht="14.25" customHeight="1" s="46">
      <c r="A64" s="2" t="n"/>
      <c r="B64" s="2" t="n"/>
      <c r="C64" s="2" t="n"/>
      <c r="D64" s="2" t="n"/>
      <c r="E64" s="2" t="n"/>
      <c r="F64" s="2" t="n"/>
      <c r="G64" s="2" t="n"/>
    </row>
    <row r="65" ht="14.25" customHeight="1" s="46">
      <c r="A65" s="2" t="n"/>
      <c r="B65" s="2" t="n"/>
      <c r="C65" s="2" t="n"/>
      <c r="D65" s="2" t="n"/>
      <c r="E65" s="2" t="n"/>
      <c r="F65" s="2" t="n"/>
      <c r="G65" s="2" t="n"/>
    </row>
    <row r="66" ht="14.25" customHeight="1" s="46">
      <c r="A66" s="2" t="n"/>
      <c r="B66" s="2" t="n"/>
      <c r="C66" s="2" t="n"/>
      <c r="D66" s="2" t="n"/>
      <c r="E66" s="2" t="n"/>
      <c r="F66" s="2" t="n"/>
      <c r="G66" s="2" t="n"/>
    </row>
    <row r="67" ht="14.25" customHeight="1" s="46">
      <c r="A67" s="2" t="n"/>
      <c r="B67" s="2" t="n"/>
      <c r="C67" s="2" t="n"/>
      <c r="D67" s="2" t="n"/>
      <c r="E67" s="2" t="n"/>
      <c r="F67" s="2" t="n"/>
      <c r="G67" s="2" t="n"/>
    </row>
    <row r="68" ht="14.25" customHeight="1" s="46">
      <c r="A68" s="2" t="n"/>
      <c r="B68" s="2" t="n"/>
      <c r="C68" s="2" t="n"/>
      <c r="D68" s="2" t="n"/>
      <c r="E68" s="2" t="n"/>
      <c r="F68" s="2" t="n"/>
      <c r="G68" s="2" t="n"/>
    </row>
    <row r="69" ht="14.25" customHeight="1" s="46">
      <c r="A69" s="2" t="n"/>
      <c r="B69" s="2" t="n"/>
      <c r="C69" s="2" t="n"/>
      <c r="D69" s="2" t="n"/>
      <c r="E69" s="2" t="n"/>
      <c r="F69" s="2" t="n"/>
      <c r="G69" s="2" t="n"/>
    </row>
    <row r="70" ht="14.25" customHeight="1" s="46">
      <c r="A70" s="2" t="n"/>
      <c r="B70" s="2" t="n"/>
      <c r="C70" s="2" t="n"/>
      <c r="D70" s="2" t="n"/>
      <c r="E70" s="2" t="n"/>
      <c r="F70" s="2" t="n"/>
      <c r="G70" s="2" t="n"/>
    </row>
    <row r="71" ht="14.25" customHeight="1" s="46">
      <c r="A71" s="2" t="n"/>
      <c r="B71" s="2" t="n"/>
      <c r="C71" s="2" t="n"/>
      <c r="D71" s="2" t="n"/>
      <c r="E71" s="2" t="n"/>
      <c r="F71" s="2" t="n"/>
      <c r="G71" s="2" t="n"/>
    </row>
    <row r="72" ht="14.25" customHeight="1" s="46">
      <c r="A72" s="2" t="n"/>
      <c r="B72" s="2" t="n"/>
      <c r="C72" s="2" t="n"/>
      <c r="D72" s="2" t="n"/>
      <c r="E72" s="2" t="n"/>
      <c r="F72" s="2" t="n"/>
      <c r="G72" s="2" t="n"/>
    </row>
    <row r="73" ht="14.25" customHeight="1" s="46">
      <c r="A73" s="2" t="n"/>
      <c r="B73" s="2" t="n"/>
      <c r="C73" s="2" t="n"/>
      <c r="D73" s="2" t="n"/>
      <c r="E73" s="2" t="n"/>
      <c r="F73" s="2" t="n"/>
      <c r="G73" s="2" t="n"/>
    </row>
    <row r="74" ht="14.25" customHeight="1" s="46">
      <c r="A74" s="2" t="n"/>
      <c r="B74" s="2" t="n"/>
      <c r="C74" s="2" t="n"/>
      <c r="D74" s="2" t="n"/>
      <c r="E74" s="2" t="n"/>
      <c r="F74" s="2" t="n"/>
      <c r="G74" s="2" t="n"/>
    </row>
    <row r="75" ht="14.25" customHeight="1" s="46">
      <c r="A75" s="2" t="n"/>
      <c r="B75" s="2" t="n"/>
      <c r="C75" s="2" t="n"/>
      <c r="D75" s="2" t="n"/>
      <c r="E75" s="2" t="n"/>
      <c r="F75" s="2" t="n"/>
      <c r="G75" s="2" t="n"/>
    </row>
    <row r="76" ht="14.25" customHeight="1" s="46">
      <c r="A76" s="2" t="n"/>
      <c r="B76" s="2" t="n"/>
      <c r="C76" s="2" t="n"/>
      <c r="D76" s="2" t="n"/>
      <c r="E76" s="2" t="n"/>
      <c r="F76" s="2" t="n"/>
      <c r="G76" s="2" t="n"/>
    </row>
    <row r="77" ht="14.25" customHeight="1" s="46">
      <c r="A77" s="2" t="n"/>
      <c r="B77" s="2" t="n"/>
      <c r="C77" s="2" t="n"/>
      <c r="D77" s="2" t="n"/>
      <c r="E77" s="2" t="n"/>
      <c r="F77" s="2" t="n"/>
      <c r="G77" s="2" t="n"/>
    </row>
    <row r="78" ht="14.25" customHeight="1" s="46">
      <c r="A78" s="2" t="n"/>
      <c r="B78" s="2" t="n"/>
      <c r="C78" s="2" t="n"/>
      <c r="D78" s="2" t="n"/>
      <c r="E78" s="2" t="n"/>
      <c r="F78" s="2" t="n"/>
      <c r="G78" s="2" t="n"/>
    </row>
    <row r="79" ht="14.25" customHeight="1" s="46">
      <c r="A79" s="2" t="n"/>
      <c r="B79" s="2" t="n"/>
      <c r="C79" s="2" t="n"/>
      <c r="D79" s="2" t="n"/>
      <c r="E79" s="2" t="n"/>
      <c r="F79" s="2" t="n"/>
      <c r="G79" s="2" t="n"/>
    </row>
    <row r="80" ht="14.25" customHeight="1" s="46">
      <c r="A80" s="2" t="n"/>
      <c r="B80" s="2" t="n"/>
      <c r="C80" s="2" t="n"/>
      <c r="D80" s="2" t="n"/>
      <c r="E80" s="2" t="n"/>
      <c r="F80" s="2" t="n"/>
      <c r="G80" s="2" t="n"/>
    </row>
    <row r="81" ht="14.25" customHeight="1" s="46">
      <c r="A81" s="2" t="n"/>
      <c r="B81" s="2" t="n"/>
      <c r="C81" s="2" t="n"/>
      <c r="D81" s="2" t="n"/>
      <c r="E81" s="2" t="n"/>
      <c r="F81" s="2" t="n"/>
      <c r="G81" s="2" t="n"/>
    </row>
    <row r="82" ht="14.25" customHeight="1" s="46">
      <c r="A82" s="2" t="n"/>
      <c r="B82" s="2" t="n"/>
      <c r="C82" s="2" t="n"/>
      <c r="D82" s="2" t="n"/>
      <c r="E82" s="2" t="n"/>
      <c r="F82" s="2" t="n"/>
      <c r="G82" s="2" t="n"/>
    </row>
    <row r="83" ht="14.25" customHeight="1" s="46">
      <c r="A83" s="2" t="n"/>
      <c r="B83" s="2" t="n"/>
      <c r="C83" s="2" t="n"/>
      <c r="D83" s="2" t="n"/>
      <c r="E83" s="2" t="n"/>
      <c r="F83" s="2" t="n"/>
      <c r="G83" s="2" t="n"/>
    </row>
    <row r="84" ht="14.25" customHeight="1" s="46">
      <c r="A84" s="2" t="n"/>
      <c r="B84" s="2" t="n"/>
      <c r="C84" s="2" t="n"/>
      <c r="D84" s="2" t="n"/>
      <c r="E84" s="2" t="n"/>
      <c r="F84" s="2" t="n"/>
      <c r="G84" s="2" t="n"/>
    </row>
    <row r="85" ht="14.25" customHeight="1" s="46">
      <c r="A85" s="2" t="n"/>
      <c r="B85" s="2" t="n"/>
      <c r="C85" s="2" t="n"/>
      <c r="D85" s="2" t="n"/>
      <c r="E85" s="2" t="n"/>
      <c r="F85" s="2" t="n"/>
      <c r="G85" s="2" t="n"/>
    </row>
    <row r="86" ht="14.25" customHeight="1" s="46">
      <c r="A86" s="2" t="n"/>
      <c r="B86" s="2" t="n"/>
      <c r="C86" s="2" t="n"/>
      <c r="D86" s="2" t="n"/>
      <c r="E86" s="2" t="n"/>
      <c r="F86" s="2" t="n"/>
      <c r="G86" s="2" t="n"/>
    </row>
    <row r="87" ht="14.25" customHeight="1" s="46">
      <c r="A87" s="2" t="n"/>
      <c r="B87" s="2" t="n"/>
      <c r="C87" s="2" t="n"/>
      <c r="D87" s="2" t="n"/>
      <c r="E87" s="2" t="n"/>
      <c r="F87" s="2" t="n"/>
      <c r="G87" s="2" t="n"/>
    </row>
    <row r="88" ht="14.25" customHeight="1" s="46">
      <c r="A88" s="2" t="n"/>
      <c r="B88" s="2" t="n"/>
      <c r="C88" s="2" t="n"/>
      <c r="D88" s="2" t="n"/>
      <c r="E88" s="2" t="n"/>
      <c r="F88" s="2" t="n"/>
      <c r="G88" s="2" t="n"/>
    </row>
    <row r="89" ht="14.25" customHeight="1" s="46">
      <c r="A89" s="2" t="n"/>
      <c r="B89" s="2" t="n"/>
      <c r="C89" s="2" t="n"/>
      <c r="D89" s="2" t="n"/>
      <c r="E89" s="2" t="n"/>
      <c r="F89" s="2" t="n"/>
      <c r="G89" s="2" t="n"/>
    </row>
    <row r="90" ht="14.25" customHeight="1" s="46">
      <c r="A90" s="2" t="n"/>
      <c r="B90" s="2" t="n"/>
      <c r="C90" s="2" t="n"/>
      <c r="D90" s="2" t="n"/>
      <c r="E90" s="2" t="n"/>
      <c r="F90" s="2" t="n"/>
      <c r="G90" s="2" t="n"/>
    </row>
    <row r="91" ht="14.25" customHeight="1" s="46">
      <c r="A91" s="2" t="n"/>
      <c r="B91" s="2" t="n"/>
      <c r="C91" s="2" t="n"/>
      <c r="D91" s="2" t="n"/>
      <c r="E91" s="2" t="n"/>
      <c r="F91" s="2" t="n"/>
      <c r="G91" s="2" t="n"/>
    </row>
    <row r="92" ht="14.25" customHeight="1" s="46">
      <c r="A92" s="2" t="n"/>
      <c r="B92" s="2" t="n"/>
      <c r="C92" s="2" t="n"/>
      <c r="D92" s="2" t="n"/>
      <c r="E92" s="2" t="n"/>
      <c r="F92" s="2" t="n"/>
      <c r="G92" s="2" t="n"/>
    </row>
    <row r="93" ht="14.25" customHeight="1" s="46">
      <c r="A93" s="2" t="n"/>
      <c r="B93" s="2" t="n"/>
      <c r="C93" s="2" t="n"/>
      <c r="D93" s="2" t="n"/>
      <c r="E93" s="2" t="n"/>
      <c r="F93" s="2" t="n"/>
      <c r="G93" s="2" t="n"/>
    </row>
    <row r="94" ht="14.25" customHeight="1" s="46">
      <c r="A94" s="2" t="n"/>
      <c r="B94" s="2" t="n"/>
      <c r="C94" s="2" t="n"/>
      <c r="D94" s="2" t="n"/>
      <c r="E94" s="2" t="n"/>
      <c r="F94" s="2" t="n"/>
      <c r="G94" s="2" t="n"/>
    </row>
    <row r="95" ht="14.25" customHeight="1" s="46">
      <c r="A95" s="2" t="n"/>
      <c r="B95" s="2" t="n"/>
      <c r="C95" s="2" t="n"/>
      <c r="D95" s="2" t="n"/>
      <c r="E95" s="2" t="n"/>
      <c r="F95" s="2" t="n"/>
      <c r="G95" s="2" t="n"/>
    </row>
    <row r="96" ht="14.25" customHeight="1" s="46">
      <c r="A96" s="2" t="n"/>
      <c r="B96" s="2" t="n"/>
      <c r="C96" s="2" t="n"/>
      <c r="D96" s="2" t="n"/>
      <c r="E96" s="2" t="n"/>
      <c r="F96" s="2" t="n"/>
      <c r="G96" s="2" t="n"/>
    </row>
    <row r="97" ht="14.25" customHeight="1" s="46">
      <c r="A97" s="2" t="n"/>
      <c r="B97" s="2" t="n"/>
      <c r="C97" s="2" t="n"/>
      <c r="D97" s="2" t="n"/>
      <c r="E97" s="2" t="n"/>
      <c r="F97" s="2" t="n"/>
      <c r="G97" s="2" t="n"/>
    </row>
    <row r="98" ht="14.25" customHeight="1" s="46">
      <c r="A98" s="2" t="n"/>
      <c r="B98" s="2" t="n"/>
      <c r="C98" s="2" t="n"/>
      <c r="D98" s="2" t="n"/>
      <c r="E98" s="2" t="n"/>
      <c r="F98" s="2" t="n"/>
      <c r="G98" s="2" t="n"/>
    </row>
    <row r="99" ht="14.25" customHeight="1" s="46">
      <c r="A99" s="2" t="n"/>
      <c r="B99" s="2" t="n"/>
      <c r="C99" s="2" t="n"/>
      <c r="D99" s="2" t="n"/>
      <c r="E99" s="2" t="n"/>
      <c r="F99" s="2" t="n"/>
      <c r="G99" s="2" t="n"/>
    </row>
    <row r="100" ht="14.25" customHeight="1" s="46">
      <c r="A100" s="2" t="n"/>
      <c r="B100" s="2" t="n"/>
      <c r="C100" s="2" t="n"/>
      <c r="D100" s="2" t="n"/>
      <c r="E100" s="2" t="n"/>
      <c r="F100" s="2" t="n"/>
      <c r="G100" s="2" t="n"/>
    </row>
    <row r="101" ht="14.25" customHeight="1" s="46">
      <c r="A101" s="2" t="n"/>
      <c r="B101" s="2" t="n"/>
      <c r="C101" s="2" t="n"/>
      <c r="D101" s="2" t="n"/>
      <c r="E101" s="2" t="n"/>
      <c r="F101" s="2" t="n"/>
      <c r="G101" s="2" t="n"/>
    </row>
    <row r="102" ht="14.25" customHeight="1" s="46">
      <c r="A102" s="2" t="n"/>
      <c r="B102" s="2" t="n"/>
      <c r="C102" s="2" t="n"/>
      <c r="D102" s="2" t="n"/>
      <c r="E102" s="2" t="n"/>
      <c r="F102" s="2" t="n"/>
      <c r="G102" s="2" t="n"/>
    </row>
    <row r="103" ht="14.25" customHeight="1" s="46">
      <c r="A103" s="2" t="n"/>
      <c r="B103" s="2" t="n"/>
      <c r="C103" s="2" t="n"/>
      <c r="D103" s="2" t="n"/>
      <c r="E103" s="2" t="n"/>
      <c r="F103" s="2" t="n"/>
      <c r="G103" s="2" t="n"/>
    </row>
    <row r="104" ht="14.25" customHeight="1" s="46">
      <c r="A104" s="2" t="n"/>
      <c r="B104" s="2" t="n"/>
      <c r="C104" s="2" t="n"/>
      <c r="D104" s="2" t="n"/>
      <c r="E104" s="2" t="n"/>
      <c r="F104" s="2" t="n"/>
      <c r="G104" s="2" t="n"/>
    </row>
    <row r="105" ht="14.25" customHeight="1" s="46">
      <c r="A105" s="2" t="n"/>
      <c r="B105" s="2" t="n"/>
      <c r="C105" s="2" t="n"/>
      <c r="D105" s="2" t="n"/>
      <c r="E105" s="2" t="n"/>
      <c r="F105" s="2" t="n"/>
      <c r="G105" s="2" t="n"/>
    </row>
    <row r="106" ht="14.25" customHeight="1" s="46">
      <c r="A106" s="2" t="n"/>
      <c r="B106" s="2" t="n"/>
      <c r="C106" s="2" t="n"/>
      <c r="D106" s="2" t="n"/>
      <c r="E106" s="2" t="n"/>
      <c r="F106" s="2" t="n"/>
      <c r="G106" s="2" t="n"/>
    </row>
    <row r="107" ht="14.25" customHeight="1" s="46">
      <c r="A107" s="2" t="n"/>
      <c r="B107" s="2" t="n"/>
      <c r="C107" s="2" t="n"/>
      <c r="D107" s="2" t="n"/>
      <c r="E107" s="2" t="n"/>
      <c r="F107" s="2" t="n"/>
      <c r="G107" s="2" t="n"/>
    </row>
    <row r="108" ht="14.25" customHeight="1" s="46">
      <c r="A108" s="2" t="n"/>
      <c r="B108" s="2" t="n"/>
      <c r="C108" s="2" t="n"/>
      <c r="D108" s="2" t="n"/>
      <c r="E108" s="2" t="n"/>
      <c r="F108" s="2" t="n"/>
      <c r="G108" s="2" t="n"/>
    </row>
    <row r="109" ht="14.25" customHeight="1" s="46">
      <c r="A109" s="2" t="n"/>
      <c r="B109" s="2" t="n"/>
      <c r="C109" s="2" t="n"/>
      <c r="D109" s="2" t="n"/>
      <c r="E109" s="2" t="n"/>
      <c r="F109" s="2" t="n"/>
      <c r="G109" s="2" t="n"/>
    </row>
    <row r="110" ht="14.25" customHeight="1" s="46">
      <c r="A110" s="2" t="n"/>
      <c r="B110" s="2" t="n"/>
      <c r="C110" s="2" t="n"/>
      <c r="D110" s="2" t="n"/>
      <c r="E110" s="2" t="n"/>
      <c r="F110" s="2" t="n"/>
      <c r="G110" s="2" t="n"/>
    </row>
    <row r="111" ht="14.25" customHeight="1" s="46">
      <c r="A111" s="2" t="n"/>
      <c r="B111" s="2" t="n"/>
      <c r="C111" s="2" t="n"/>
      <c r="D111" s="2" t="n"/>
      <c r="E111" s="2" t="n"/>
      <c r="F111" s="2" t="n"/>
      <c r="G111" s="2" t="n"/>
    </row>
    <row r="112" ht="14.25" customHeight="1" s="46">
      <c r="A112" s="2" t="n"/>
      <c r="B112" s="2" t="n"/>
      <c r="C112" s="2" t="n"/>
      <c r="D112" s="2" t="n"/>
      <c r="E112" s="2" t="n"/>
      <c r="F112" s="2" t="n"/>
      <c r="G112" s="2" t="n"/>
    </row>
    <row r="113" ht="14.25" customHeight="1" s="46">
      <c r="A113" s="2" t="n"/>
      <c r="B113" s="2" t="n"/>
      <c r="C113" s="2" t="n"/>
      <c r="D113" s="2" t="n"/>
      <c r="E113" s="2" t="n"/>
      <c r="F113" s="2" t="n"/>
      <c r="G113" s="2" t="n"/>
    </row>
    <row r="114" ht="14.25" customHeight="1" s="46">
      <c r="A114" s="2" t="n"/>
      <c r="B114" s="2" t="n"/>
      <c r="C114" s="2" t="n"/>
      <c r="D114" s="2" t="n"/>
      <c r="E114" s="2" t="n"/>
      <c r="F114" s="2" t="n"/>
      <c r="G114" s="2" t="n"/>
    </row>
    <row r="115" ht="14.25" customHeight="1" s="46">
      <c r="A115" s="2" t="n"/>
      <c r="B115" s="2" t="n"/>
      <c r="C115" s="2" t="n"/>
      <c r="D115" s="2" t="n"/>
      <c r="E115" s="2" t="n"/>
      <c r="F115" s="2" t="n"/>
      <c r="G115" s="2" t="n"/>
    </row>
    <row r="116" ht="14.25" customHeight="1" s="46">
      <c r="A116" s="2" t="n"/>
      <c r="B116" s="2" t="n"/>
      <c r="C116" s="2" t="n"/>
      <c r="D116" s="2" t="n"/>
      <c r="E116" s="2" t="n"/>
      <c r="F116" s="2" t="n"/>
      <c r="G116" s="2" t="n"/>
    </row>
    <row r="117" ht="14.25" customHeight="1" s="46">
      <c r="A117" s="2" t="n"/>
      <c r="B117" s="2" t="n"/>
      <c r="C117" s="2" t="n"/>
      <c r="D117" s="2" t="n"/>
      <c r="E117" s="2" t="n"/>
      <c r="F117" s="2" t="n"/>
      <c r="G117" s="2" t="n"/>
    </row>
    <row r="118" ht="14.25" customHeight="1" s="46">
      <c r="A118" s="2" t="n"/>
      <c r="B118" s="2" t="n"/>
      <c r="C118" s="2" t="n"/>
      <c r="D118" s="2" t="n"/>
      <c r="E118" s="2" t="n"/>
      <c r="F118" s="2" t="n"/>
      <c r="G118" s="2" t="n"/>
    </row>
    <row r="119" ht="14.25" customHeight="1" s="46">
      <c r="A119" s="2" t="n"/>
      <c r="B119" s="2" t="n"/>
      <c r="C119" s="2" t="n"/>
      <c r="D119" s="2" t="n"/>
      <c r="E119" s="2" t="n"/>
      <c r="F119" s="2" t="n"/>
      <c r="G119" s="2" t="n"/>
    </row>
    <row r="120" ht="14.25" customHeight="1" s="46">
      <c r="A120" s="2" t="n"/>
      <c r="B120" s="2" t="n"/>
      <c r="C120" s="2" t="n"/>
      <c r="D120" s="2" t="n"/>
      <c r="E120" s="2" t="n"/>
      <c r="F120" s="2" t="n"/>
      <c r="G120" s="2" t="n"/>
    </row>
    <row r="121" ht="14.25" customHeight="1" s="46">
      <c r="A121" s="2" t="n"/>
      <c r="B121" s="2" t="n"/>
      <c r="C121" s="2" t="n"/>
      <c r="D121" s="2" t="n"/>
      <c r="E121" s="2" t="n"/>
      <c r="F121" s="2" t="n"/>
      <c r="G121" s="2" t="n"/>
    </row>
    <row r="122" ht="14.25" customHeight="1" s="46">
      <c r="A122" s="2" t="n"/>
      <c r="B122" s="2" t="n"/>
      <c r="C122" s="2" t="n"/>
      <c r="D122" s="2" t="n"/>
      <c r="E122" s="2" t="n"/>
      <c r="F122" s="2" t="n"/>
      <c r="G122" s="2" t="n"/>
    </row>
    <row r="123" ht="14.25" customHeight="1" s="46">
      <c r="A123" s="2" t="n"/>
      <c r="B123" s="2" t="n"/>
      <c r="C123" s="2" t="n"/>
      <c r="D123" s="2" t="n"/>
      <c r="E123" s="2" t="n"/>
      <c r="F123" s="2" t="n"/>
      <c r="G123" s="2" t="n"/>
    </row>
    <row r="124" ht="14.25" customHeight="1" s="46">
      <c r="A124" s="2" t="n"/>
      <c r="B124" s="2" t="n"/>
      <c r="C124" s="2" t="n"/>
      <c r="D124" s="2" t="n"/>
      <c r="E124" s="2" t="n"/>
      <c r="F124" s="2" t="n"/>
      <c r="G124" s="2" t="n"/>
    </row>
    <row r="125" ht="14.25" customHeight="1" s="46">
      <c r="A125" s="2" t="n"/>
      <c r="B125" s="2" t="n"/>
      <c r="C125" s="2" t="n"/>
      <c r="D125" s="2" t="n"/>
      <c r="E125" s="2" t="n"/>
      <c r="F125" s="2" t="n"/>
      <c r="G125" s="2" t="n"/>
    </row>
    <row r="126" ht="14.25" customHeight="1" s="46">
      <c r="A126" s="2" t="n"/>
      <c r="B126" s="2" t="n"/>
      <c r="C126" s="2" t="n"/>
      <c r="D126" s="2" t="n"/>
      <c r="E126" s="2" t="n"/>
      <c r="F126" s="2" t="n"/>
      <c r="G126" s="2" t="n"/>
    </row>
    <row r="127" ht="14.25" customHeight="1" s="46">
      <c r="A127" s="2" t="n"/>
      <c r="B127" s="2" t="n"/>
      <c r="C127" s="2" t="n"/>
      <c r="D127" s="2" t="n"/>
      <c r="E127" s="2" t="n"/>
      <c r="F127" s="2" t="n"/>
      <c r="G127" s="2" t="n"/>
    </row>
    <row r="128" ht="14.25" customHeight="1" s="46">
      <c r="A128" s="2" t="n"/>
      <c r="B128" s="2" t="n"/>
      <c r="C128" s="2" t="n"/>
      <c r="D128" s="2" t="n"/>
      <c r="E128" s="2" t="n"/>
      <c r="F128" s="2" t="n"/>
      <c r="G128" s="2" t="n"/>
    </row>
    <row r="129" ht="14.25" customHeight="1" s="46">
      <c r="A129" s="2" t="n"/>
      <c r="B129" s="2" t="n"/>
      <c r="C129" s="2" t="n"/>
      <c r="D129" s="2" t="n"/>
      <c r="E129" s="2" t="n"/>
      <c r="F129" s="2" t="n"/>
      <c r="G129" s="2" t="n"/>
    </row>
    <row r="130" ht="14.25" customHeight="1" s="46">
      <c r="A130" s="2" t="n"/>
      <c r="B130" s="2" t="n"/>
      <c r="C130" s="2" t="n"/>
      <c r="D130" s="2" t="n"/>
      <c r="E130" s="2" t="n"/>
      <c r="F130" s="2" t="n"/>
      <c r="G130" s="2" t="n"/>
    </row>
    <row r="131" ht="14.25" customHeight="1" s="46">
      <c r="A131" s="2" t="n"/>
      <c r="B131" s="2" t="n"/>
      <c r="C131" s="2" t="n"/>
      <c r="D131" s="2" t="n"/>
      <c r="E131" s="2" t="n"/>
      <c r="F131" s="2" t="n"/>
      <c r="G131" s="2" t="n"/>
    </row>
    <row r="132" ht="14.25" customHeight="1" s="46">
      <c r="A132" s="2" t="n"/>
      <c r="B132" s="2" t="n"/>
      <c r="C132" s="2" t="n"/>
      <c r="D132" s="2" t="n"/>
      <c r="E132" s="2" t="n"/>
      <c r="F132" s="2" t="n"/>
      <c r="G132" s="2" t="n"/>
    </row>
    <row r="133" ht="14.25" customHeight="1" s="46">
      <c r="A133" s="2" t="n"/>
      <c r="B133" s="2" t="n"/>
      <c r="C133" s="2" t="n"/>
      <c r="D133" s="2" t="n"/>
      <c r="E133" s="2" t="n"/>
      <c r="F133" s="2" t="n"/>
      <c r="G133" s="2" t="n"/>
    </row>
    <row r="134" ht="14.25" customHeight="1" s="46">
      <c r="A134" s="2" t="n"/>
      <c r="B134" s="2" t="n"/>
      <c r="C134" s="2" t="n"/>
      <c r="D134" s="2" t="n"/>
      <c r="E134" s="2" t="n"/>
      <c r="F134" s="2" t="n"/>
      <c r="G134" s="2" t="n"/>
    </row>
    <row r="135" ht="14.25" customHeight="1" s="46">
      <c r="A135" s="2" t="n"/>
      <c r="B135" s="2" t="n"/>
      <c r="C135" s="2" t="n"/>
      <c r="D135" s="2" t="n"/>
      <c r="E135" s="2" t="n"/>
      <c r="F135" s="2" t="n"/>
      <c r="G135" s="2" t="n"/>
    </row>
    <row r="136" ht="14.25" customHeight="1" s="46">
      <c r="A136" s="2" t="n"/>
      <c r="B136" s="2" t="n"/>
      <c r="C136" s="2" t="n"/>
      <c r="D136" s="2" t="n"/>
      <c r="E136" s="2" t="n"/>
      <c r="F136" s="2" t="n"/>
      <c r="G136" s="2" t="n"/>
    </row>
    <row r="137" ht="14.25" customHeight="1" s="46">
      <c r="A137" s="2" t="n"/>
      <c r="B137" s="2" t="n"/>
      <c r="C137" s="2" t="n"/>
      <c r="D137" s="2" t="n"/>
      <c r="E137" s="2" t="n"/>
      <c r="F137" s="2" t="n"/>
      <c r="G137" s="2" t="n"/>
    </row>
    <row r="138" ht="14.25" customHeight="1" s="46">
      <c r="A138" s="2" t="n"/>
      <c r="B138" s="2" t="n"/>
      <c r="C138" s="2" t="n"/>
      <c r="D138" s="2" t="n"/>
      <c r="E138" s="2" t="n"/>
      <c r="F138" s="2" t="n"/>
      <c r="G138" s="2" t="n"/>
    </row>
    <row r="139" ht="14.25" customHeight="1" s="46">
      <c r="A139" s="2" t="n"/>
      <c r="B139" s="2" t="n"/>
      <c r="C139" s="2" t="n"/>
      <c r="D139" s="2" t="n"/>
      <c r="E139" s="2" t="n"/>
      <c r="F139" s="2" t="n"/>
      <c r="G139" s="2" t="n"/>
    </row>
    <row r="140" ht="14.25" customHeight="1" s="46">
      <c r="A140" s="2" t="n"/>
      <c r="B140" s="2" t="n"/>
      <c r="C140" s="2" t="n"/>
      <c r="D140" s="2" t="n"/>
      <c r="E140" s="2" t="n"/>
      <c r="F140" s="2" t="n"/>
      <c r="G140" s="2" t="n"/>
    </row>
    <row r="141" ht="14.25" customHeight="1" s="46">
      <c r="A141" s="2" t="n"/>
      <c r="B141" s="2" t="n"/>
      <c r="C141" s="2" t="n"/>
      <c r="D141" s="2" t="n"/>
      <c r="E141" s="2" t="n"/>
      <c r="F141" s="2" t="n"/>
      <c r="G141" s="2" t="n"/>
    </row>
    <row r="142" ht="14.25" customHeight="1" s="46">
      <c r="A142" s="2" t="n"/>
      <c r="B142" s="2" t="n"/>
      <c r="C142" s="2" t="n"/>
      <c r="D142" s="2" t="n"/>
      <c r="E142" s="2" t="n"/>
      <c r="F142" s="2" t="n"/>
      <c r="G142" s="2" t="n"/>
    </row>
    <row r="143" ht="14.25" customHeight="1" s="46">
      <c r="A143" s="2" t="n"/>
      <c r="B143" s="2" t="n"/>
      <c r="C143" s="2" t="n"/>
      <c r="D143" s="2" t="n"/>
      <c r="E143" s="2" t="n"/>
      <c r="F143" s="2" t="n"/>
      <c r="G143" s="2" t="n"/>
    </row>
    <row r="144" ht="14.25" customHeight="1" s="46">
      <c r="A144" s="2" t="n"/>
      <c r="B144" s="2" t="n"/>
      <c r="C144" s="2" t="n"/>
      <c r="D144" s="2" t="n"/>
      <c r="E144" s="2" t="n"/>
      <c r="F144" s="2" t="n"/>
      <c r="G144" s="2" t="n"/>
    </row>
    <row r="145" ht="14.25" customHeight="1" s="46">
      <c r="A145" s="2" t="n"/>
      <c r="B145" s="2" t="n"/>
      <c r="C145" s="2" t="n"/>
      <c r="D145" s="2" t="n"/>
      <c r="E145" s="2" t="n"/>
      <c r="F145" s="2" t="n"/>
      <c r="G145" s="2" t="n"/>
    </row>
    <row r="146" ht="14.25" customHeight="1" s="46">
      <c r="A146" s="2" t="n"/>
      <c r="B146" s="2" t="n"/>
      <c r="C146" s="2" t="n"/>
      <c r="D146" s="2" t="n"/>
      <c r="E146" s="2" t="n"/>
      <c r="F146" s="2" t="n"/>
      <c r="G146" s="2" t="n"/>
    </row>
    <row r="147" ht="14.25" customHeight="1" s="46">
      <c r="A147" s="2" t="n"/>
      <c r="B147" s="2" t="n"/>
      <c r="C147" s="2" t="n"/>
      <c r="D147" s="2" t="n"/>
      <c r="E147" s="2" t="n"/>
      <c r="F147" s="2" t="n"/>
      <c r="G147" s="2" t="n"/>
    </row>
    <row r="148" ht="14.25" customHeight="1" s="46">
      <c r="A148" s="2" t="n"/>
      <c r="B148" s="2" t="n"/>
      <c r="C148" s="2" t="n"/>
      <c r="D148" s="2" t="n"/>
      <c r="E148" s="2" t="n"/>
      <c r="F148" s="2" t="n"/>
      <c r="G148" s="2" t="n"/>
    </row>
    <row r="149" ht="14.25" customHeight="1" s="46">
      <c r="A149" s="2" t="n"/>
      <c r="B149" s="2" t="n"/>
      <c r="C149" s="2" t="n"/>
      <c r="D149" s="2" t="n"/>
      <c r="E149" s="2" t="n"/>
      <c r="F149" s="2" t="n"/>
      <c r="G149" s="2" t="n"/>
    </row>
    <row r="150" ht="14.25" customHeight="1" s="46">
      <c r="A150" s="2" t="n"/>
      <c r="B150" s="2" t="n"/>
      <c r="C150" s="2" t="n"/>
      <c r="D150" s="2" t="n"/>
      <c r="E150" s="2" t="n"/>
      <c r="F150" s="2" t="n"/>
      <c r="G150" s="2" t="n"/>
    </row>
    <row r="151" ht="14.25" customHeight="1" s="46">
      <c r="A151" s="2" t="n"/>
      <c r="B151" s="2" t="n"/>
      <c r="C151" s="2" t="n"/>
      <c r="D151" s="2" t="n"/>
      <c r="E151" s="2" t="n"/>
      <c r="F151" s="2" t="n"/>
      <c r="G151" s="2" t="n"/>
    </row>
    <row r="152" ht="14.25" customHeight="1" s="46">
      <c r="A152" s="2" t="n"/>
      <c r="B152" s="2" t="n"/>
      <c r="C152" s="2" t="n"/>
      <c r="D152" s="2" t="n"/>
      <c r="E152" s="2" t="n"/>
      <c r="F152" s="2" t="n"/>
      <c r="G152" s="2" t="n"/>
    </row>
    <row r="153" ht="14.25" customHeight="1" s="46">
      <c r="A153" s="2" t="n"/>
      <c r="B153" s="2" t="n"/>
      <c r="C153" s="2" t="n"/>
      <c r="D153" s="2" t="n"/>
      <c r="E153" s="2" t="n"/>
      <c r="F153" s="2" t="n"/>
      <c r="G153" s="2" t="n"/>
    </row>
    <row r="154" ht="14.25" customHeight="1" s="46">
      <c r="A154" s="2" t="n"/>
      <c r="B154" s="2" t="n"/>
      <c r="C154" s="2" t="n"/>
      <c r="D154" s="2" t="n"/>
      <c r="E154" s="2" t="n"/>
      <c r="F154" s="2" t="n"/>
      <c r="G154" s="2" t="n"/>
    </row>
    <row r="155" ht="14.25" customHeight="1" s="46">
      <c r="A155" s="2" t="n"/>
      <c r="B155" s="2" t="n"/>
      <c r="C155" s="2" t="n"/>
      <c r="D155" s="2" t="n"/>
      <c r="E155" s="2" t="n"/>
      <c r="F155" s="2" t="n"/>
      <c r="G155" s="2" t="n"/>
    </row>
    <row r="156" ht="14.25" customHeight="1" s="46">
      <c r="A156" s="2" t="n"/>
      <c r="B156" s="2" t="n"/>
      <c r="C156" s="2" t="n"/>
      <c r="D156" s="2" t="n"/>
      <c r="E156" s="2" t="n"/>
      <c r="F156" s="2" t="n"/>
      <c r="G156" s="2" t="n"/>
    </row>
    <row r="157" ht="14.25" customHeight="1" s="46">
      <c r="A157" s="2" t="n"/>
      <c r="B157" s="2" t="n"/>
      <c r="C157" s="2" t="n"/>
      <c r="D157" s="2" t="n"/>
      <c r="E157" s="2" t="n"/>
      <c r="F157" s="2" t="n"/>
      <c r="G157" s="2" t="n"/>
    </row>
    <row r="158" ht="14.25" customHeight="1" s="46">
      <c r="A158" s="2" t="n"/>
      <c r="B158" s="2" t="n"/>
      <c r="C158" s="2" t="n"/>
      <c r="D158" s="2" t="n"/>
      <c r="E158" s="2" t="n"/>
      <c r="F158" s="2" t="n"/>
      <c r="G158" s="2" t="n"/>
    </row>
    <row r="159" ht="14.25" customHeight="1" s="46">
      <c r="A159" s="2" t="n"/>
      <c r="B159" s="2" t="n"/>
      <c r="C159" s="2" t="n"/>
      <c r="D159" s="2" t="n"/>
      <c r="E159" s="2" t="n"/>
      <c r="F159" s="2" t="n"/>
      <c r="G159" s="2" t="n"/>
    </row>
    <row r="160" ht="14.25" customHeight="1" s="46">
      <c r="A160" s="2" t="n"/>
      <c r="B160" s="2" t="n"/>
      <c r="C160" s="2" t="n"/>
      <c r="D160" s="2" t="n"/>
      <c r="E160" s="2" t="n"/>
      <c r="F160" s="2" t="n"/>
      <c r="G160" s="2" t="n"/>
    </row>
    <row r="161" ht="14.25" customHeight="1" s="46">
      <c r="A161" s="2" t="n"/>
      <c r="B161" s="2" t="n"/>
      <c r="C161" s="2" t="n"/>
      <c r="D161" s="2" t="n"/>
      <c r="E161" s="2" t="n"/>
      <c r="F161" s="2" t="n"/>
      <c r="G161" s="2" t="n"/>
    </row>
    <row r="162" ht="14.25" customHeight="1" s="46">
      <c r="A162" s="2" t="n"/>
      <c r="B162" s="2" t="n"/>
      <c r="C162" s="2" t="n"/>
      <c r="D162" s="2" t="n"/>
      <c r="E162" s="2" t="n"/>
      <c r="F162" s="2" t="n"/>
      <c r="G162" s="2" t="n"/>
    </row>
    <row r="163" ht="14.25" customHeight="1" s="46">
      <c r="A163" s="2" t="n"/>
      <c r="B163" s="2" t="n"/>
      <c r="C163" s="2" t="n"/>
      <c r="D163" s="2" t="n"/>
      <c r="E163" s="2" t="n"/>
      <c r="F163" s="2" t="n"/>
      <c r="G163" s="2" t="n"/>
    </row>
    <row r="164" ht="14.25" customHeight="1" s="46">
      <c r="A164" s="2" t="n"/>
      <c r="B164" s="2" t="n"/>
      <c r="C164" s="2" t="n"/>
      <c r="D164" s="2" t="n"/>
      <c r="E164" s="2" t="n"/>
      <c r="F164" s="2" t="n"/>
      <c r="G164" s="2" t="n"/>
    </row>
    <row r="165" ht="14.25" customHeight="1" s="46">
      <c r="A165" s="2" t="n"/>
      <c r="B165" s="2" t="n"/>
      <c r="C165" s="2" t="n"/>
      <c r="D165" s="2" t="n"/>
      <c r="E165" s="2" t="n"/>
      <c r="F165" s="2" t="n"/>
      <c r="G165" s="2" t="n"/>
    </row>
    <row r="166" ht="14.25" customHeight="1" s="46">
      <c r="A166" s="2" t="n"/>
      <c r="B166" s="2" t="n"/>
      <c r="C166" s="2" t="n"/>
      <c r="D166" s="2" t="n"/>
      <c r="E166" s="2" t="n"/>
      <c r="F166" s="2" t="n"/>
      <c r="G166" s="2" t="n"/>
    </row>
    <row r="167" ht="14.25" customHeight="1" s="46">
      <c r="A167" s="2" t="n"/>
      <c r="B167" s="2" t="n"/>
      <c r="C167" s="2" t="n"/>
      <c r="D167" s="2" t="n"/>
      <c r="E167" s="2" t="n"/>
      <c r="F167" s="2" t="n"/>
      <c r="G167" s="2" t="n"/>
    </row>
    <row r="168" ht="14.25" customHeight="1" s="46">
      <c r="A168" s="2" t="n"/>
      <c r="B168" s="2" t="n"/>
      <c r="C168" s="2" t="n"/>
      <c r="D168" s="2" t="n"/>
      <c r="E168" s="2" t="n"/>
      <c r="F168" s="2" t="n"/>
      <c r="G168" s="2" t="n"/>
    </row>
    <row r="169" ht="14.25" customHeight="1" s="46">
      <c r="A169" s="2" t="n"/>
      <c r="B169" s="2" t="n"/>
      <c r="C169" s="2" t="n"/>
      <c r="D169" s="2" t="n"/>
      <c r="E169" s="2" t="n"/>
      <c r="F169" s="2" t="n"/>
      <c r="G169" s="2" t="n"/>
    </row>
    <row r="170" ht="14.25" customHeight="1" s="46">
      <c r="A170" s="2" t="n"/>
      <c r="B170" s="2" t="n"/>
      <c r="C170" s="2" t="n"/>
      <c r="D170" s="2" t="n"/>
      <c r="E170" s="2" t="n"/>
      <c r="F170" s="2" t="n"/>
      <c r="G170" s="2" t="n"/>
    </row>
    <row r="171" ht="14.25" customHeight="1" s="46">
      <c r="A171" s="2" t="n"/>
      <c r="B171" s="2" t="n"/>
      <c r="C171" s="2" t="n"/>
      <c r="D171" s="2" t="n"/>
      <c r="E171" s="2" t="n"/>
      <c r="F171" s="2" t="n"/>
      <c r="G171" s="2" t="n"/>
    </row>
    <row r="172" ht="14.25" customHeight="1" s="46">
      <c r="A172" s="2" t="n"/>
      <c r="B172" s="2" t="n"/>
      <c r="C172" s="2" t="n"/>
      <c r="D172" s="2" t="n"/>
      <c r="E172" s="2" t="n"/>
      <c r="F172" s="2" t="n"/>
      <c r="G172" s="2" t="n"/>
    </row>
    <row r="173" ht="14.25" customHeight="1" s="46">
      <c r="A173" s="2" t="n"/>
      <c r="B173" s="2" t="n"/>
      <c r="C173" s="2" t="n"/>
      <c r="D173" s="2" t="n"/>
      <c r="E173" s="2" t="n"/>
      <c r="F173" s="2" t="n"/>
      <c r="G173" s="2" t="n"/>
    </row>
    <row r="174" ht="14.25" customHeight="1" s="46">
      <c r="A174" s="2" t="n"/>
      <c r="B174" s="2" t="n"/>
      <c r="C174" s="2" t="n"/>
      <c r="D174" s="2" t="n"/>
      <c r="E174" s="2" t="n"/>
      <c r="F174" s="2" t="n"/>
      <c r="G174" s="2" t="n"/>
    </row>
    <row r="175" ht="14.25" customHeight="1" s="46">
      <c r="A175" s="2" t="n"/>
      <c r="B175" s="2" t="n"/>
      <c r="C175" s="2" t="n"/>
      <c r="D175" s="2" t="n"/>
      <c r="E175" s="2" t="n"/>
      <c r="F175" s="2" t="n"/>
      <c r="G175" s="2" t="n"/>
    </row>
    <row r="176" ht="14.25" customHeight="1" s="46">
      <c r="A176" s="2" t="n"/>
      <c r="B176" s="2" t="n"/>
      <c r="C176" s="2" t="n"/>
      <c r="D176" s="2" t="n"/>
      <c r="E176" s="2" t="n"/>
      <c r="F176" s="2" t="n"/>
      <c r="G176" s="2" t="n"/>
    </row>
    <row r="177" ht="14.25" customHeight="1" s="46">
      <c r="A177" s="2" t="n"/>
      <c r="B177" s="2" t="n"/>
      <c r="C177" s="2" t="n"/>
      <c r="D177" s="2" t="n"/>
      <c r="E177" s="2" t="n"/>
      <c r="F177" s="2" t="n"/>
      <c r="G177" s="2" t="n"/>
    </row>
    <row r="178" ht="14.25" customHeight="1" s="46">
      <c r="A178" s="2" t="n"/>
      <c r="B178" s="2" t="n"/>
      <c r="C178" s="2" t="n"/>
      <c r="D178" s="2" t="n"/>
      <c r="E178" s="2" t="n"/>
      <c r="F178" s="2" t="n"/>
      <c r="G178" s="2" t="n"/>
    </row>
    <row r="179" ht="14.25" customHeight="1" s="46">
      <c r="A179" s="2" t="n"/>
      <c r="B179" s="2" t="n"/>
      <c r="C179" s="2" t="n"/>
      <c r="D179" s="2" t="n"/>
      <c r="E179" s="2" t="n"/>
      <c r="F179" s="2" t="n"/>
      <c r="G179" s="2" t="n"/>
    </row>
    <row r="180" ht="14.25" customHeight="1" s="46">
      <c r="A180" s="2" t="n"/>
      <c r="B180" s="2" t="n"/>
      <c r="C180" s="2" t="n"/>
      <c r="D180" s="2" t="n"/>
      <c r="E180" s="2" t="n"/>
      <c r="F180" s="2" t="n"/>
      <c r="G180" s="2" t="n"/>
    </row>
    <row r="181" ht="14.25" customHeight="1" s="46">
      <c r="A181" s="2" t="n"/>
      <c r="B181" s="2" t="n"/>
      <c r="C181" s="2" t="n"/>
      <c r="D181" s="2" t="n"/>
      <c r="E181" s="2" t="n"/>
      <c r="F181" s="2" t="n"/>
      <c r="G181" s="2" t="n"/>
    </row>
    <row r="182" ht="14.25" customHeight="1" s="46">
      <c r="A182" s="2" t="n"/>
      <c r="B182" s="2" t="n"/>
      <c r="C182" s="2" t="n"/>
      <c r="D182" s="2" t="n"/>
      <c r="E182" s="2" t="n"/>
      <c r="F182" s="2" t="n"/>
      <c r="G182" s="2" t="n"/>
    </row>
    <row r="183" ht="14.25" customHeight="1" s="46">
      <c r="A183" s="2" t="n"/>
      <c r="B183" s="2" t="n"/>
      <c r="C183" s="2" t="n"/>
      <c r="D183" s="2" t="n"/>
      <c r="E183" s="2" t="n"/>
      <c r="F183" s="2" t="n"/>
      <c r="G183" s="2" t="n"/>
    </row>
    <row r="184" ht="14.25" customHeight="1" s="46">
      <c r="A184" s="2" t="n"/>
      <c r="B184" s="2" t="n"/>
      <c r="C184" s="2" t="n"/>
      <c r="D184" s="2" t="n"/>
      <c r="E184" s="2" t="n"/>
      <c r="F184" s="2" t="n"/>
      <c r="G184" s="2" t="n"/>
    </row>
    <row r="185" ht="14.25" customHeight="1" s="46">
      <c r="A185" s="2" t="n"/>
      <c r="B185" s="2" t="n"/>
      <c r="C185" s="2" t="n"/>
      <c r="D185" s="2" t="n"/>
      <c r="E185" s="2" t="n"/>
      <c r="F185" s="2" t="n"/>
      <c r="G185" s="2" t="n"/>
    </row>
    <row r="186" ht="14.25" customHeight="1" s="46">
      <c r="A186" s="2" t="n"/>
      <c r="B186" s="2" t="n"/>
      <c r="C186" s="2" t="n"/>
      <c r="D186" s="2" t="n"/>
      <c r="E186" s="2" t="n"/>
      <c r="F186" s="2" t="n"/>
      <c r="G186" s="2" t="n"/>
    </row>
    <row r="187" ht="14.25" customHeight="1" s="46">
      <c r="A187" s="2" t="n"/>
      <c r="B187" s="2" t="n"/>
      <c r="C187" s="2" t="n"/>
      <c r="D187" s="2" t="n"/>
      <c r="E187" s="2" t="n"/>
      <c r="F187" s="2" t="n"/>
      <c r="G187" s="2" t="n"/>
    </row>
    <row r="188" ht="14.25" customHeight="1" s="46">
      <c r="A188" s="2" t="n"/>
      <c r="B188" s="2" t="n"/>
      <c r="C188" s="2" t="n"/>
      <c r="D188" s="2" t="n"/>
      <c r="E188" s="2" t="n"/>
      <c r="F188" s="2" t="n"/>
      <c r="G188" s="2" t="n"/>
    </row>
    <row r="189" ht="14.25" customHeight="1" s="46">
      <c r="A189" s="2" t="n"/>
      <c r="B189" s="2" t="n"/>
      <c r="C189" s="2" t="n"/>
      <c r="D189" s="2" t="n"/>
      <c r="E189" s="2" t="n"/>
      <c r="F189" s="2" t="n"/>
      <c r="G189" s="2" t="n"/>
    </row>
    <row r="190" ht="14.25" customHeight="1" s="46">
      <c r="A190" s="2" t="n"/>
      <c r="B190" s="2" t="n"/>
      <c r="C190" s="2" t="n"/>
      <c r="D190" s="2" t="n"/>
      <c r="E190" s="2" t="n"/>
      <c r="F190" s="2" t="n"/>
      <c r="G190" s="2" t="n"/>
    </row>
    <row r="191" ht="14.25" customHeight="1" s="46">
      <c r="A191" s="2" t="n"/>
      <c r="B191" s="2" t="n"/>
      <c r="C191" s="2" t="n"/>
      <c r="D191" s="2" t="n"/>
      <c r="E191" s="2" t="n"/>
      <c r="F191" s="2" t="n"/>
      <c r="G191" s="2" t="n"/>
    </row>
    <row r="192" ht="14.25" customHeight="1" s="46">
      <c r="A192" s="2" t="n"/>
      <c r="B192" s="2" t="n"/>
      <c r="C192" s="2" t="n"/>
      <c r="D192" s="2" t="n"/>
      <c r="E192" s="2" t="n"/>
      <c r="F192" s="2" t="n"/>
      <c r="G192" s="2" t="n"/>
    </row>
    <row r="193" ht="14.25" customHeight="1" s="46">
      <c r="A193" s="2" t="n"/>
      <c r="B193" s="2" t="n"/>
      <c r="C193" s="2" t="n"/>
      <c r="D193" s="2" t="n"/>
      <c r="E193" s="2" t="n"/>
      <c r="F193" s="2" t="n"/>
      <c r="G193" s="2" t="n"/>
    </row>
    <row r="194" ht="14.25" customHeight="1" s="46">
      <c r="A194" s="2" t="n"/>
      <c r="B194" s="2" t="n"/>
      <c r="C194" s="2" t="n"/>
      <c r="D194" s="2" t="n"/>
      <c r="E194" s="2" t="n"/>
      <c r="F194" s="2" t="n"/>
      <c r="G194" s="2" t="n"/>
    </row>
    <row r="195" ht="14.25" customHeight="1" s="46">
      <c r="A195" s="2" t="n"/>
      <c r="B195" s="2" t="n"/>
      <c r="C195" s="2" t="n"/>
      <c r="D195" s="2" t="n"/>
      <c r="E195" s="2" t="n"/>
      <c r="F195" s="2" t="n"/>
      <c r="G195" s="2" t="n"/>
    </row>
    <row r="196" ht="14.25" customHeight="1" s="46">
      <c r="A196" s="2" t="n"/>
      <c r="B196" s="2" t="n"/>
      <c r="C196" s="2" t="n"/>
      <c r="D196" s="2" t="n"/>
      <c r="E196" s="2" t="n"/>
      <c r="F196" s="2" t="n"/>
      <c r="G196" s="2" t="n"/>
    </row>
    <row r="197" ht="14.25" customHeight="1" s="46">
      <c r="A197" s="2" t="n"/>
      <c r="B197" s="2" t="n"/>
      <c r="C197" s="2" t="n"/>
      <c r="D197" s="2" t="n"/>
      <c r="E197" s="2" t="n"/>
      <c r="F197" s="2" t="n"/>
      <c r="G197" s="2" t="n"/>
    </row>
    <row r="198" ht="14.25" customHeight="1" s="46">
      <c r="A198" s="2" t="n"/>
      <c r="B198" s="2" t="n"/>
      <c r="C198" s="2" t="n"/>
      <c r="D198" s="2" t="n"/>
      <c r="E198" s="2" t="n"/>
      <c r="F198" s="2" t="n"/>
      <c r="G198" s="2" t="n"/>
    </row>
    <row r="199" ht="14.25" customHeight="1" s="46">
      <c r="A199" s="2" t="n"/>
      <c r="B199" s="2" t="n"/>
      <c r="C199" s="2" t="n"/>
      <c r="D199" s="2" t="n"/>
      <c r="E199" s="2" t="n"/>
      <c r="F199" s="2" t="n"/>
      <c r="G199" s="2" t="n"/>
    </row>
    <row r="200" ht="14.25" customHeight="1" s="46">
      <c r="A200" s="2" t="n"/>
      <c r="B200" s="2" t="n"/>
      <c r="C200" s="2" t="n"/>
      <c r="D200" s="2" t="n"/>
      <c r="E200" s="2" t="n"/>
      <c r="F200" s="2" t="n"/>
      <c r="G200" s="2" t="n"/>
    </row>
    <row r="201" ht="14.25" customHeight="1" s="46">
      <c r="A201" s="2" t="n"/>
      <c r="B201" s="2" t="n"/>
      <c r="C201" s="2" t="n"/>
      <c r="D201" s="2" t="n"/>
      <c r="E201" s="2" t="n"/>
      <c r="F201" s="2" t="n"/>
      <c r="G201" s="2" t="n"/>
    </row>
    <row r="202" ht="14.25" customHeight="1" s="46">
      <c r="A202" s="2" t="n"/>
      <c r="B202" s="2" t="n"/>
      <c r="C202" s="2" t="n"/>
      <c r="D202" s="2" t="n"/>
      <c r="E202" s="2" t="n"/>
      <c r="F202" s="2" t="n"/>
      <c r="G202" s="2" t="n"/>
    </row>
    <row r="203" ht="14.25" customHeight="1" s="46">
      <c r="A203" s="2" t="n"/>
      <c r="B203" s="2" t="n"/>
      <c r="C203" s="2" t="n"/>
      <c r="D203" s="2" t="n"/>
      <c r="E203" s="2" t="n"/>
      <c r="F203" s="2" t="n"/>
      <c r="G203" s="2" t="n"/>
    </row>
    <row r="204" ht="14.25" customHeight="1" s="46">
      <c r="A204" s="2" t="n"/>
      <c r="B204" s="2" t="n"/>
      <c r="C204" s="2" t="n"/>
      <c r="D204" s="2" t="n"/>
      <c r="E204" s="2" t="n"/>
      <c r="F204" s="2" t="n"/>
      <c r="G204" s="2" t="n"/>
    </row>
    <row r="205" ht="14.25" customHeight="1" s="46">
      <c r="A205" s="2" t="n"/>
      <c r="B205" s="2" t="n"/>
      <c r="C205" s="2" t="n"/>
      <c r="D205" s="2" t="n"/>
      <c r="E205" s="2" t="n"/>
      <c r="F205" s="2" t="n"/>
      <c r="G205" s="2" t="n"/>
    </row>
    <row r="206" ht="14.25" customHeight="1" s="46">
      <c r="A206" s="2" t="n"/>
      <c r="B206" s="2" t="n"/>
      <c r="C206" s="2" t="n"/>
      <c r="D206" s="2" t="n"/>
      <c r="E206" s="2" t="n"/>
      <c r="F206" s="2" t="n"/>
      <c r="G206" s="2" t="n"/>
    </row>
    <row r="207" ht="14.25" customHeight="1" s="46">
      <c r="A207" s="2" t="n"/>
      <c r="B207" s="2" t="n"/>
      <c r="C207" s="2" t="n"/>
      <c r="D207" s="2" t="n"/>
      <c r="E207" s="2" t="n"/>
      <c r="F207" s="2" t="n"/>
      <c r="G207" s="2" t="n"/>
    </row>
    <row r="208" ht="14.25" customHeight="1" s="46">
      <c r="A208" s="2" t="n"/>
      <c r="B208" s="2" t="n"/>
      <c r="C208" s="2" t="n"/>
      <c r="D208" s="2" t="n"/>
      <c r="E208" s="2" t="n"/>
      <c r="F208" s="2" t="n"/>
      <c r="G208" s="2" t="n"/>
    </row>
    <row r="209" ht="14.25" customHeight="1" s="46">
      <c r="A209" s="2" t="n"/>
      <c r="B209" s="2" t="n"/>
      <c r="C209" s="2" t="n"/>
      <c r="D209" s="2" t="n"/>
      <c r="E209" s="2" t="n"/>
      <c r="F209" s="2" t="n"/>
      <c r="G209" s="2" t="n"/>
    </row>
    <row r="210" ht="14.25" customHeight="1" s="46">
      <c r="A210" s="2" t="n"/>
      <c r="B210" s="2" t="n"/>
      <c r="C210" s="2" t="n"/>
      <c r="D210" s="2" t="n"/>
      <c r="E210" s="2" t="n"/>
      <c r="F210" s="2" t="n"/>
      <c r="G210" s="2" t="n"/>
    </row>
    <row r="211" ht="14.25" customHeight="1" s="46">
      <c r="A211" s="2" t="n"/>
      <c r="B211" s="2" t="n"/>
      <c r="C211" s="2" t="n"/>
      <c r="D211" s="2" t="n"/>
      <c r="E211" s="2" t="n"/>
      <c r="F211" s="2" t="n"/>
      <c r="G211" s="2" t="n"/>
    </row>
    <row r="212" ht="14.25" customHeight="1" s="46">
      <c r="A212" s="2" t="n"/>
      <c r="B212" s="2" t="n"/>
      <c r="C212" s="2" t="n"/>
      <c r="D212" s="2" t="n"/>
      <c r="E212" s="2" t="n"/>
      <c r="F212" s="2" t="n"/>
      <c r="G212" s="2" t="n"/>
    </row>
    <row r="213" ht="14.25" customHeight="1" s="46">
      <c r="A213" s="2" t="n"/>
      <c r="B213" s="2" t="n"/>
      <c r="C213" s="2" t="n"/>
      <c r="D213" s="2" t="n"/>
      <c r="E213" s="2" t="n"/>
      <c r="F213" s="2" t="n"/>
      <c r="G213" s="2" t="n"/>
    </row>
    <row r="214" ht="14.25" customHeight="1" s="46">
      <c r="A214" s="2" t="n"/>
      <c r="B214" s="2" t="n"/>
      <c r="C214" s="2" t="n"/>
      <c r="D214" s="2" t="n"/>
      <c r="E214" s="2" t="n"/>
      <c r="F214" s="2" t="n"/>
      <c r="G214" s="2" t="n"/>
    </row>
    <row r="215" ht="14.25" customHeight="1" s="46">
      <c r="A215" s="2" t="n"/>
      <c r="B215" s="2" t="n"/>
      <c r="C215" s="2" t="n"/>
      <c r="D215" s="2" t="n"/>
      <c r="E215" s="2" t="n"/>
      <c r="F215" s="2" t="n"/>
      <c r="G215" s="2" t="n"/>
    </row>
    <row r="216" ht="14.25" customHeight="1" s="46">
      <c r="A216" s="2" t="n"/>
      <c r="B216" s="2" t="n"/>
      <c r="C216" s="2" t="n"/>
      <c r="D216" s="2" t="n"/>
      <c r="E216" s="2" t="n"/>
      <c r="F216" s="2" t="n"/>
      <c r="G216" s="2" t="n"/>
    </row>
    <row r="217" ht="14.25" customHeight="1" s="46">
      <c r="A217" s="2" t="n"/>
      <c r="B217" s="2" t="n"/>
      <c r="C217" s="2" t="n"/>
      <c r="D217" s="2" t="n"/>
      <c r="E217" s="2" t="n"/>
      <c r="F217" s="2" t="n"/>
      <c r="G217" s="2" t="n"/>
    </row>
    <row r="218" ht="14.25" customHeight="1" s="46">
      <c r="A218" s="2" t="n"/>
      <c r="B218" s="2" t="n"/>
      <c r="C218" s="2" t="n"/>
      <c r="D218" s="2" t="n"/>
      <c r="E218" s="2" t="n"/>
      <c r="F218" s="2" t="n"/>
      <c r="G218" s="2" t="n"/>
    </row>
    <row r="219" ht="14.25" customHeight="1" s="46">
      <c r="A219" s="2" t="n"/>
      <c r="B219" s="2" t="n"/>
      <c r="C219" s="2" t="n"/>
      <c r="D219" s="2" t="n"/>
      <c r="E219" s="2" t="n"/>
      <c r="F219" s="2" t="n"/>
      <c r="G219" s="2" t="n"/>
    </row>
    <row r="220" ht="14.25" customHeight="1" s="46">
      <c r="A220" s="2" t="n"/>
      <c r="B220" s="2" t="n"/>
      <c r="C220" s="2" t="n"/>
      <c r="D220" s="2" t="n"/>
      <c r="E220" s="2" t="n"/>
      <c r="F220" s="2" t="n"/>
      <c r="G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conditionalFormatting sqref="F5:F10">
    <cfRule type="expression" priority="1" dxfId="0">
      <formula>F5="No"</formula>
    </cfRule>
    <cfRule type="expression" priority="2" dxfId="1">
      <formula>F5="Yes"</formula>
    </cfRule>
  </conditionalFormatting>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H262"/>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46" min="1" max="1"/>
    <col width="10" customWidth="1" style="46" min="2" max="2"/>
    <col width="30" customWidth="1" style="46" min="3" max="3"/>
    <col width="10" customWidth="1" style="46" min="4" max="4"/>
    <col width="60" customWidth="1" style="46" min="5" max="5"/>
    <col width="8" customWidth="1" style="46" min="6" max="6"/>
    <col width="34" customWidth="1" style="46" min="7" max="7"/>
    <col width="28" customWidth="1" style="46" min="8" max="8"/>
  </cols>
  <sheetData>
    <row r="1" ht="9" customHeight="1" s="46">
      <c r="A1" s="1" t="inlineStr">
        <is>
          <t>Step 1: every good, its source after step 1, and its uses today</t>
        </is>
      </c>
      <c r="B1" s="2" t="n"/>
      <c r="C1" s="2" t="n"/>
      <c r="D1" s="2" t="n"/>
      <c r="E1" s="2" t="n"/>
      <c r="F1" s="2" t="n"/>
      <c r="G1" s="2" t="n"/>
      <c r="H1" s="2" t="n"/>
    </row>
    <row r="2" ht="14.25" customHeight="1" s="46">
      <c r="A2" s="3" t="inlineStr">
        <is>
          <t>Uses are read from the game as it is now. "Needs" flags goods with fewer than two uses (G14).</t>
        </is>
      </c>
      <c r="B2" s="2" t="n"/>
      <c r="C2" s="2" t="n"/>
      <c r="D2" s="2" t="n"/>
      <c r="E2" s="2" t="n"/>
      <c r="F2" s="2" t="n"/>
      <c r="G2" s="2" t="n"/>
      <c r="H2" s="2" t="n"/>
    </row>
    <row r="3" ht="14.25" customHeight="1" s="46">
      <c r="A3" s="2" t="n"/>
      <c r="B3" s="2" t="n"/>
      <c r="C3" s="2" t="n"/>
      <c r="D3" s="2" t="n"/>
      <c r="E3" s="2" t="n"/>
      <c r="F3" s="2" t="n"/>
      <c r="G3" s="2" t="n"/>
      <c r="H3" s="2" t="n"/>
    </row>
    <row r="4" ht="25.5" customHeight="1" s="46">
      <c r="A4" s="9" t="inlineStr">
        <is>
          <t>Good</t>
        </is>
      </c>
      <c r="B4" s="9" t="inlineStr">
        <is>
          <t>Group</t>
        </is>
      </c>
      <c r="C4" s="9" t="inlineStr">
        <is>
          <t>Source after step 1</t>
        </is>
      </c>
      <c r="D4" s="9" t="inlineStr">
        <is>
          <t>From rank</t>
        </is>
      </c>
      <c r="E4" s="9" t="inlineStr">
        <is>
          <t>Uses today</t>
        </is>
      </c>
      <c r="F4" s="9" t="inlineStr">
        <is>
          <t>Use count</t>
        </is>
      </c>
      <c r="G4" s="9" t="inlineStr">
        <is>
          <t>Status (G14)</t>
        </is>
      </c>
      <c r="H4" s="9" t="inlineStr">
        <is>
          <t>Your notes</t>
        </is>
      </c>
    </row>
    <row r="5" ht="246.75" customHeight="1" s="46">
      <c r="A5" s="7" t="inlineStr">
        <is>
          <t>Timber</t>
        </is>
      </c>
      <c r="B5" s="7" t="inlineStr">
        <is>
          <t>materials</t>
        </is>
      </c>
      <c r="C5" s="7" t="inlineStr">
        <is>
          <t>Woodcutter</t>
        </is>
      </c>
      <c r="D5" s="7" t="inlineStr">
        <is>
          <t>start</t>
        </is>
      </c>
      <c r="E5" s="7" t="inlineStr">
        <is>
          <t>builds Burgage House; builds Woodcutter's Lodge; builds Forester's Hut; builds Stone Quarry; builds Bog Iron Pit; builds Clay Pit; builds Sand Pit; builds Forager's Hut; builds Hunting Camp; builds Fisher's Hut; builds Farmstead; builds Animal Farm; builds Orchard Keeper's Lodge; builds Windmill; builds Watermill; builds Bakery; builds Brewhouse; builds Dairy; builds Sawpit; Sawpit; builds Charcoal Burner; Charcoal Burner; builds Tannery; builds Weaver; builds Dyer's Workshop; builds Tailor &amp; Cobbler; builds Carpenter's Workshop; builds Cooper's Workshop; builds Potter's Workshop; builds Stonemason's Yard; builds Lime Kiln; builds Tile Kiln; builds Bloomery; Blacksmith; builds Well; builds Storehouse; builds Granary; builds Silo; builds Trading Post; builds Dock; builds Draught Stable; builds Builder's Yard; builds Alehouse; builds Apothecary; builds Church; builds Flower Garden; builds Wayside Shrine; builds Public Garden; builds Maypole; builds Manor; builds Lord's Stable; upgrade to Timber House; Manor House</t>
        </is>
      </c>
      <c r="F5" s="7" t="n">
        <v>53</v>
      </c>
      <c r="G5" s="7" t="inlineStr">
        <is>
          <t>OK</t>
        </is>
      </c>
      <c r="H5" s="45" t="n"/>
    </row>
    <row r="6" ht="25.5" customHeight="1" s="46">
      <c r="A6" s="7" t="inlineStr">
        <is>
          <t>Firewood</t>
        </is>
      </c>
      <c r="B6" s="7" t="inlineStr">
        <is>
          <t>materials</t>
        </is>
      </c>
      <c r="C6" s="7" t="inlineStr">
        <is>
          <t>Woodcutter</t>
        </is>
      </c>
      <c r="D6" s="7" t="inlineStr">
        <is>
          <t>start</t>
        </is>
      </c>
      <c r="E6" s="7" t="inlineStr">
        <is>
          <t>Dyer's Workshop; Potter's Workshop; Lime Kiln; Tile Kiln; Bloomery</t>
        </is>
      </c>
      <c r="F6" s="7" t="n">
        <v>5</v>
      </c>
      <c r="G6" s="7" t="inlineStr">
        <is>
          <t>OK</t>
        </is>
      </c>
      <c r="H6" s="45" t="n"/>
    </row>
    <row r="7" ht="195" customHeight="1" s="46">
      <c r="A7" s="7" t="inlineStr">
        <is>
          <t>Planks</t>
        </is>
      </c>
      <c r="B7" s="7" t="inlineStr">
        <is>
          <t>materials</t>
        </is>
      </c>
      <c r="C7" s="7" t="inlineStr">
        <is>
          <t>Sawmill</t>
        </is>
      </c>
      <c r="D7" s="7" t="inlineStr">
        <is>
          <t>Hamlet</t>
        </is>
      </c>
      <c r="E7" s="7" t="inlineStr">
        <is>
          <t>builds Bog Iron Pit; builds Animal Farm; builds Orchard Keeper's Lodge; builds Brewhouse; builds Winery; builds Weaver; builds Dyer's Workshop; builds Tailor &amp; Cobbler; builds Carpenter's Workshop; Carpenter's Workshop; builds Cooper's Workshop; Cooper's Workshop; builds Glassworks; builds Blacksmith; builds Armoury; Armoury; Armoury (bows); builds Jeweller's Shop; builds Trading Post; builds Dock; builds Draught Stable; builds Builder's Yard; builds Alehouse; builds Apothecary; builds Scriptorium; builds Church; builds Monastery; builds Manor; builds Lord's Stable; builds Watch Tower; builds Manor Garden; builds Bell Tower; builds Covered Market Hall; builds Cathedral; builds University; builds Guildhall; upgrade to Timber House; upgrade to Townhouse; upgrade to Merchant's House; Stone Manor</t>
        </is>
      </c>
      <c r="F7" s="7" t="n">
        <v>40</v>
      </c>
      <c r="G7" s="7" t="inlineStr">
        <is>
          <t>OK</t>
        </is>
      </c>
      <c r="H7" s="45" t="n"/>
    </row>
    <row r="8" ht="14.25" customHeight="1" s="46">
      <c r="A8" s="7" t="inlineStr">
        <is>
          <t>Wood Parts</t>
        </is>
      </c>
      <c r="B8" s="7" t="inlineStr">
        <is>
          <t>materials</t>
        </is>
      </c>
      <c r="C8" s="7" t="inlineStr">
        <is>
          <t>Carpenter</t>
        </is>
      </c>
      <c r="D8" s="7" t="inlineStr">
        <is>
          <t>Village</t>
        </is>
      </c>
      <c r="E8" s="7" t="inlineStr">
        <is>
          <t>builds Windmill; builds Watermill; builds Winery; upkeep</t>
        </is>
      </c>
      <c r="F8" s="7" t="n">
        <v>4</v>
      </c>
      <c r="G8" s="7" t="inlineStr">
        <is>
          <t>OK</t>
        </is>
      </c>
      <c r="H8" s="45" t="n"/>
    </row>
    <row r="9" ht="129.75" customHeight="1" s="46">
      <c r="A9" s="7" t="inlineStr">
        <is>
          <t>Stone</t>
        </is>
      </c>
      <c r="B9" s="7" t="inlineStr">
        <is>
          <t>materials</t>
        </is>
      </c>
      <c r="C9" s="7" t="inlineStr">
        <is>
          <t>Quarry</t>
        </is>
      </c>
      <c r="D9" s="7" t="inlineStr">
        <is>
          <t>start</t>
        </is>
      </c>
      <c r="E9" s="7" t="inlineStr">
        <is>
          <t>builds Watermill; builds Bakery; builds Winery; builds Potter's Workshop; builds Stonemason's Yard; Stonemason's Yard; builds Lime Kiln; Lime Kiln; builds Glassworks; builds Tile Kiln; builds Bloomery; builds Blacksmith; builds Armoury; builds Silo; builds Dock; builds Builder's Yard; builds Monastery; builds Wayside Shrine; builds Stone Fountain; builds Public Garden; builds Manor; builds Watch Tower; builds Town Wall; builds Manor Garden; builds Bell Tower; builds Cathedral; upgrade to Townhouse; Manor House; Stone Manor</t>
        </is>
      </c>
      <c r="F9" s="7" t="n">
        <v>29</v>
      </c>
      <c r="G9" s="7" t="inlineStr">
        <is>
          <t>OK</t>
        </is>
      </c>
      <c r="H9" s="45" t="n"/>
    </row>
    <row r="10" ht="64.5" customHeight="1" s="46">
      <c r="A10" s="7" t="inlineStr">
        <is>
          <t>Dressed Stone</t>
        </is>
      </c>
      <c r="B10" s="7" t="inlineStr">
        <is>
          <t>materials</t>
        </is>
      </c>
      <c r="C10" s="7" t="inlineStr">
        <is>
          <t>Stonemason</t>
        </is>
      </c>
      <c r="D10" s="7" t="inlineStr">
        <is>
          <t>Town</t>
        </is>
      </c>
      <c r="E10" s="7" t="inlineStr">
        <is>
          <t>builds Jeweller's Shop; builds Scriptorium; builds Town Wall; builds Lord's Statue; builds Bell Tower; builds Covered Market Hall; builds Cathedral; builds University; builds Guildhall; upgrade to Merchant's House; Stone Manor</t>
        </is>
      </c>
      <c r="F10" s="7" t="n">
        <v>11</v>
      </c>
      <c r="G10" s="7" t="inlineStr">
        <is>
          <t>OK</t>
        </is>
      </c>
      <c r="H10" s="45" t="n"/>
    </row>
    <row r="11" ht="14.25" customHeight="1" s="46">
      <c r="A11" s="7" t="inlineStr">
        <is>
          <t>Clay</t>
        </is>
      </c>
      <c r="B11" s="7" t="inlineStr">
        <is>
          <t>materials</t>
        </is>
      </c>
      <c r="C11" s="7" t="inlineStr">
        <is>
          <t>Clay Pit</t>
        </is>
      </c>
      <c r="D11" s="7" t="inlineStr">
        <is>
          <t>Village</t>
        </is>
      </c>
      <c r="E11" s="7" t="inlineStr">
        <is>
          <t>Potter's Workshop; Tile Kiln</t>
        </is>
      </c>
      <c r="F11" s="7" t="n">
        <v>2</v>
      </c>
      <c r="G11" s="7" t="inlineStr">
        <is>
          <t>OK</t>
        </is>
      </c>
      <c r="H11" s="45" t="n"/>
    </row>
    <row r="12" ht="39" customHeight="1" s="46">
      <c r="A12" s="7" t="inlineStr">
        <is>
          <t>Roof Tiles</t>
        </is>
      </c>
      <c r="B12" s="7" t="inlineStr">
        <is>
          <t>materials</t>
        </is>
      </c>
      <c r="C12" s="7" t="inlineStr">
        <is>
          <t>Kiln</t>
        </is>
      </c>
      <c r="D12" s="7" t="inlineStr">
        <is>
          <t>Village</t>
        </is>
      </c>
      <c r="E12" s="7" t="inlineStr">
        <is>
          <t>builds Monastery; builds Covered Market Hall; builds Cathedral; builds University; builds Guildhall; upgrade to Townhouse; upgrade to Merchant's House</t>
        </is>
      </c>
      <c r="F12" s="7" t="n">
        <v>7</v>
      </c>
      <c r="G12" s="7" t="inlineStr">
        <is>
          <t>OK</t>
        </is>
      </c>
      <c r="H12" s="45" t="n"/>
    </row>
    <row r="13" ht="14.25" customHeight="1" s="46">
      <c r="A13" s="7" t="inlineStr">
        <is>
          <t>Bog Iron</t>
        </is>
      </c>
      <c r="B13" s="7" t="inlineStr">
        <is>
          <t>materials</t>
        </is>
      </c>
      <c r="C13" s="7" t="inlineStr">
        <is>
          <t>Bog Iron Pit</t>
        </is>
      </c>
      <c r="D13" s="7" t="inlineStr">
        <is>
          <t>Town</t>
        </is>
      </c>
      <c r="E13" s="7" t="inlineStr">
        <is>
          <t>Bloomery</t>
        </is>
      </c>
      <c r="F13" s="7" t="n">
        <v>1</v>
      </c>
      <c r="G13" s="7" t="inlineStr">
        <is>
          <t>OK: feeds one chain</t>
        </is>
      </c>
      <c r="H13" s="45" t="n"/>
    </row>
    <row r="14" ht="14.25" customHeight="1" s="46">
      <c r="A14" s="7" t="inlineStr">
        <is>
          <t>Iron</t>
        </is>
      </c>
      <c r="B14" s="7" t="inlineStr">
        <is>
          <t>materials</t>
        </is>
      </c>
      <c r="C14" s="7" t="inlineStr">
        <is>
          <t>Bloomery</t>
        </is>
      </c>
      <c r="D14" s="7" t="inlineStr">
        <is>
          <t>Town</t>
        </is>
      </c>
      <c r="E14" s="7" t="inlineStr">
        <is>
          <t>Blacksmith; Armoury (armour)</t>
        </is>
      </c>
      <c r="F14" s="7" t="n">
        <v>2</v>
      </c>
      <c r="G14" s="7" t="inlineStr">
        <is>
          <t>OK</t>
        </is>
      </c>
      <c r="H14" s="45" t="n"/>
    </row>
    <row r="15" ht="24.75" customHeight="1" s="46">
      <c r="A15" s="7" t="inlineStr">
        <is>
          <t>Silver</t>
        </is>
      </c>
      <c r="B15" s="7" t="inlineStr">
        <is>
          <t>materials</t>
        </is>
      </c>
      <c r="C15" s="7" t="inlineStr">
        <is>
          <t>step 3: no source but a charter today</t>
        </is>
      </c>
      <c r="D15" s="7" t="n"/>
      <c r="E15" s="7" t="inlineStr">
        <is>
          <t>Jeweller's Shop</t>
        </is>
      </c>
      <c r="F15" s="7" t="n">
        <v>1</v>
      </c>
      <c r="G15" s="7" t="inlineStr">
        <is>
          <t>OK: feeds one chain</t>
        </is>
      </c>
      <c r="H15" s="45" t="n"/>
    </row>
    <row r="16" ht="14.25" customHeight="1" s="46">
      <c r="A16" s="7" t="inlineStr">
        <is>
          <t>Crates</t>
        </is>
      </c>
      <c r="B16" s="7" t="inlineStr">
        <is>
          <t>materials</t>
        </is>
      </c>
      <c r="C16" s="7" t="inlineStr">
        <is>
          <t>Cooper</t>
        </is>
      </c>
      <c r="D16" s="7" t="inlineStr">
        <is>
          <t>Village</t>
        </is>
      </c>
      <c r="E16" s="7" t="inlineStr">
        <is>
          <t>Winery; trade carts</t>
        </is>
      </c>
      <c r="F16" s="7" t="n">
        <v>2</v>
      </c>
      <c r="G16" s="7" t="inlineStr">
        <is>
          <t>OK</t>
        </is>
      </c>
      <c r="H16" s="45" t="n"/>
    </row>
    <row r="17" ht="14.25" customHeight="1" s="46">
      <c r="A17" s="7" t="inlineStr">
        <is>
          <t>Sand</t>
        </is>
      </c>
      <c r="B17" s="7" t="inlineStr">
        <is>
          <t>materials</t>
        </is>
      </c>
      <c r="C17" s="7" t="inlineStr">
        <is>
          <t>Sand Pit</t>
        </is>
      </c>
      <c r="D17" s="7" t="inlineStr">
        <is>
          <t>Town</t>
        </is>
      </c>
      <c r="E17" s="7" t="inlineStr">
        <is>
          <t>Lime Kiln; Glassworks; Glassworks (glass)</t>
        </is>
      </c>
      <c r="F17" s="7" t="n">
        <v>3</v>
      </c>
      <c r="G17" s="7" t="inlineStr">
        <is>
          <t>OK</t>
        </is>
      </c>
      <c r="H17" s="45" t="n"/>
    </row>
    <row r="18" ht="14.25" customHeight="1" s="46">
      <c r="A18" s="7" t="inlineStr">
        <is>
          <t>Mortar</t>
        </is>
      </c>
      <c r="B18" s="7" t="inlineStr">
        <is>
          <t>materials</t>
        </is>
      </c>
      <c r="C18" s="7" t="inlineStr">
        <is>
          <t>Lime Kiln</t>
        </is>
      </c>
      <c r="D18" s="7" t="inlineStr">
        <is>
          <t>Town</t>
        </is>
      </c>
      <c r="E18" s="7" t="n"/>
      <c r="F18" s="7" t="n">
        <v>0</v>
      </c>
      <c r="G18" s="7" t="inlineStr">
        <is>
          <t>No use yet: step 3</t>
        </is>
      </c>
      <c r="H18" s="45" t="n"/>
    </row>
    <row r="19" ht="14.25" customHeight="1" s="46">
      <c r="A19" s="7" t="inlineStr">
        <is>
          <t>Charcoal</t>
        </is>
      </c>
      <c r="B19" s="7" t="inlineStr">
        <is>
          <t>materials</t>
        </is>
      </c>
      <c r="C19" s="7" t="inlineStr">
        <is>
          <t>Charcoal Burner</t>
        </is>
      </c>
      <c r="D19" s="7" t="inlineStr">
        <is>
          <t>Town</t>
        </is>
      </c>
      <c r="E19" s="7" t="inlineStr">
        <is>
          <t>Glassworks; Glassworks (glass)</t>
        </is>
      </c>
      <c r="F19" s="7" t="n">
        <v>2</v>
      </c>
      <c r="G19" s="7" t="inlineStr">
        <is>
          <t>OK</t>
        </is>
      </c>
      <c r="H19" s="45" t="n"/>
    </row>
    <row r="20" ht="14.25" customHeight="1" s="46">
      <c r="A20" s="7" t="inlineStr">
        <is>
          <t>Glass</t>
        </is>
      </c>
      <c r="B20" s="7" t="inlineStr">
        <is>
          <t>materials</t>
        </is>
      </c>
      <c r="C20" s="7" t="inlineStr">
        <is>
          <t>Glassworks</t>
        </is>
      </c>
      <c r="D20" s="7" t="inlineStr">
        <is>
          <t>Borough</t>
        </is>
      </c>
      <c r="E20" s="7" t="inlineStr">
        <is>
          <t>Glassworks (stained glass)</t>
        </is>
      </c>
      <c r="F20" s="7" t="n">
        <v>1</v>
      </c>
      <c r="G20" s="7" t="inlineStr">
        <is>
          <t>OK: feeds one chain</t>
        </is>
      </c>
      <c r="H20" s="45" t="n"/>
    </row>
    <row r="21" ht="14.25" customHeight="1" s="46">
      <c r="A21" s="7" t="inlineStr">
        <is>
          <t>Stained Glass</t>
        </is>
      </c>
      <c r="B21" s="7" t="inlineStr">
        <is>
          <t>materials</t>
        </is>
      </c>
      <c r="C21" s="7" t="inlineStr">
        <is>
          <t>step 3: Glassworks recipe</t>
        </is>
      </c>
      <c r="D21" s="7" t="n"/>
      <c r="E21" s="7" t="inlineStr">
        <is>
          <t>cathedral windows (commission)</t>
        </is>
      </c>
      <c r="F21" s="7" t="n">
        <v>1</v>
      </c>
      <c r="G21" s="7" t="inlineStr">
        <is>
          <t>OK: feeds one chain</t>
        </is>
      </c>
      <c r="H21" s="45" t="n"/>
    </row>
    <row r="22" ht="14.25" customHeight="1" s="46">
      <c r="A22" s="7" t="inlineStr">
        <is>
          <t>Bread</t>
        </is>
      </c>
      <c r="B22" s="7" t="inlineStr">
        <is>
          <t>food</t>
        </is>
      </c>
      <c r="C22" s="7" t="inlineStr">
        <is>
          <t>Bakery</t>
        </is>
      </c>
      <c r="D22" s="7" t="inlineStr">
        <is>
          <t>Village</t>
        </is>
      </c>
      <c r="E22" s="7" t="inlineStr">
        <is>
          <t>food</t>
        </is>
      </c>
      <c r="F22" s="7" t="n">
        <v>1</v>
      </c>
      <c r="G22" s="7" t="inlineStr">
        <is>
          <t>OK: food</t>
        </is>
      </c>
      <c r="H22" s="45" t="n"/>
    </row>
    <row r="23" ht="14.25" customHeight="1" s="46">
      <c r="A23" s="7" t="inlineStr">
        <is>
          <t>Meat</t>
        </is>
      </c>
      <c r="B23" s="7" t="inlineStr">
        <is>
          <t>food</t>
        </is>
      </c>
      <c r="C23" s="7" t="inlineStr">
        <is>
          <t>Forager, Hunter, Fisher</t>
        </is>
      </c>
      <c r="D23" s="7" t="inlineStr">
        <is>
          <t>start</t>
        </is>
      </c>
      <c r="E23" s="7" t="inlineStr">
        <is>
          <t>food</t>
        </is>
      </c>
      <c r="F23" s="7" t="n">
        <v>1</v>
      </c>
      <c r="G23" s="7" t="inlineStr">
        <is>
          <t>OK: food</t>
        </is>
      </c>
      <c r="H23" s="45" t="n"/>
    </row>
    <row r="24" ht="14.25" customHeight="1" s="46">
      <c r="A24" s="7" t="inlineStr">
        <is>
          <t>Pork</t>
        </is>
      </c>
      <c r="B24" s="7" t="inlineStr">
        <is>
          <t>food</t>
        </is>
      </c>
      <c r="C24" s="7" t="inlineStr">
        <is>
          <t>Animal farm: sheep and pigs</t>
        </is>
      </c>
      <c r="D24" s="7" t="inlineStr">
        <is>
          <t>Village</t>
        </is>
      </c>
      <c r="E24" s="7" t="inlineStr">
        <is>
          <t>food</t>
        </is>
      </c>
      <c r="F24" s="7" t="n">
        <v>1</v>
      </c>
      <c r="G24" s="7" t="inlineStr">
        <is>
          <t>OK: food</t>
        </is>
      </c>
      <c r="H24" s="45" t="n"/>
    </row>
    <row r="25" ht="14.25" customHeight="1" s="46">
      <c r="A25" s="7" t="inlineStr">
        <is>
          <t>Fish</t>
        </is>
      </c>
      <c r="B25" s="7" t="inlineStr">
        <is>
          <t>food</t>
        </is>
      </c>
      <c r="C25" s="7" t="inlineStr">
        <is>
          <t>Forager, Hunter, Fisher</t>
        </is>
      </c>
      <c r="D25" s="7" t="inlineStr">
        <is>
          <t>start</t>
        </is>
      </c>
      <c r="E25" s="7" t="inlineStr">
        <is>
          <t>food</t>
        </is>
      </c>
      <c r="F25" s="7" t="n">
        <v>1</v>
      </c>
      <c r="G25" s="7" t="inlineStr">
        <is>
          <t>OK: food</t>
        </is>
      </c>
      <c r="H25" s="45" t="n"/>
    </row>
    <row r="26" ht="14.25" customHeight="1" s="46">
      <c r="A26" s="7" t="inlineStr">
        <is>
          <t>Eggs</t>
        </is>
      </c>
      <c r="B26" s="7" t="inlineStr">
        <is>
          <t>food</t>
        </is>
      </c>
      <c r="C26" s="7" t="inlineStr">
        <is>
          <t>Hen coop (backyard)</t>
        </is>
      </c>
      <c r="D26" s="7" t="inlineStr">
        <is>
          <t>start</t>
        </is>
      </c>
      <c r="E26" s="7" t="inlineStr">
        <is>
          <t>food</t>
        </is>
      </c>
      <c r="F26" s="7" t="n">
        <v>1</v>
      </c>
      <c r="G26" s="7" t="inlineStr">
        <is>
          <t>OK: food</t>
        </is>
      </c>
      <c r="H26" s="45" t="n"/>
    </row>
    <row r="27" ht="14.25" customHeight="1" s="46">
      <c r="A27" s="7" t="inlineStr">
        <is>
          <t>Berries</t>
        </is>
      </c>
      <c r="B27" s="7" t="inlineStr">
        <is>
          <t>food</t>
        </is>
      </c>
      <c r="C27" s="7" t="inlineStr">
        <is>
          <t>Forager, Hunter, Fisher</t>
        </is>
      </c>
      <c r="D27" s="7" t="inlineStr">
        <is>
          <t>start</t>
        </is>
      </c>
      <c r="E27" s="7" t="inlineStr">
        <is>
          <t>food</t>
        </is>
      </c>
      <c r="F27" s="7" t="n">
        <v>1</v>
      </c>
      <c r="G27" s="7" t="inlineStr">
        <is>
          <t>OK: food</t>
        </is>
      </c>
      <c r="H27" s="45" t="n"/>
    </row>
    <row r="28" ht="14.25" customHeight="1" s="46">
      <c r="A28" s="7" t="inlineStr">
        <is>
          <t>Mushrooms</t>
        </is>
      </c>
      <c r="B28" s="7" t="inlineStr">
        <is>
          <t>food</t>
        </is>
      </c>
      <c r="C28" s="7" t="inlineStr">
        <is>
          <t>Forager, Hunter, Fisher</t>
        </is>
      </c>
      <c r="D28" s="7" t="inlineStr">
        <is>
          <t>start</t>
        </is>
      </c>
      <c r="E28" s="7" t="inlineStr">
        <is>
          <t>food</t>
        </is>
      </c>
      <c r="F28" s="7" t="n">
        <v>1</v>
      </c>
      <c r="G28" s="7" t="inlineStr">
        <is>
          <t>OK: food</t>
        </is>
      </c>
      <c r="H28" s="45" t="n"/>
    </row>
    <row r="29" ht="14.25" customHeight="1" s="46">
      <c r="A29" s="7" t="inlineStr">
        <is>
          <t>Vegetables</t>
        </is>
      </c>
      <c r="B29" s="7" t="inlineStr">
        <is>
          <t>food</t>
        </is>
      </c>
      <c r="C29" s="7" t="inlineStr">
        <is>
          <t>Vegetable patch (backyard)</t>
        </is>
      </c>
      <c r="D29" s="7" t="inlineStr">
        <is>
          <t>start</t>
        </is>
      </c>
      <c r="E29" s="7" t="inlineStr">
        <is>
          <t>food</t>
        </is>
      </c>
      <c r="F29" s="7" t="n">
        <v>1</v>
      </c>
      <c r="G29" s="7" t="inlineStr">
        <is>
          <t>OK: food</t>
        </is>
      </c>
      <c r="H29" s="45" t="n"/>
    </row>
    <row r="30" ht="14.25" customHeight="1" s="46">
      <c r="A30" s="7" t="inlineStr">
        <is>
          <t>Apples</t>
        </is>
      </c>
      <c r="B30" s="7" t="inlineStr">
        <is>
          <t>food</t>
        </is>
      </c>
      <c r="C30" s="7" t="inlineStr">
        <is>
          <t>Orchard keeper: apples</t>
        </is>
      </c>
      <c r="D30" s="7" t="inlineStr">
        <is>
          <t>Village</t>
        </is>
      </c>
      <c r="E30" s="7" t="inlineStr">
        <is>
          <t>Brewhouse (cider); food</t>
        </is>
      </c>
      <c r="F30" s="7" t="n">
        <v>2</v>
      </c>
      <c r="G30" s="7" t="inlineStr">
        <is>
          <t>OK: food</t>
        </is>
      </c>
      <c r="H30" s="45" t="n"/>
    </row>
    <row r="31" ht="14.25" customHeight="1" s="46">
      <c r="A31" s="7" t="inlineStr">
        <is>
          <t>Pears</t>
        </is>
      </c>
      <c r="B31" s="7" t="inlineStr">
        <is>
          <t>food</t>
        </is>
      </c>
      <c r="C31" s="7" t="inlineStr">
        <is>
          <t>Pears and plums</t>
        </is>
      </c>
      <c r="D31" s="7" t="inlineStr">
        <is>
          <t>Village</t>
        </is>
      </c>
      <c r="E31" s="7" t="inlineStr">
        <is>
          <t>food</t>
        </is>
      </c>
      <c r="F31" s="7" t="n">
        <v>1</v>
      </c>
      <c r="G31" s="7" t="inlineStr">
        <is>
          <t>OK: food</t>
        </is>
      </c>
      <c r="H31" s="45" t="n"/>
    </row>
    <row r="32" ht="14.25" customHeight="1" s="46">
      <c r="A32" s="7" t="inlineStr">
        <is>
          <t>Plums</t>
        </is>
      </c>
      <c r="B32" s="7" t="inlineStr">
        <is>
          <t>food</t>
        </is>
      </c>
      <c r="C32" s="7" t="inlineStr">
        <is>
          <t>Pears and plums</t>
        </is>
      </c>
      <c r="D32" s="7" t="inlineStr">
        <is>
          <t>Village</t>
        </is>
      </c>
      <c r="E32" s="7" t="inlineStr">
        <is>
          <t>food</t>
        </is>
      </c>
      <c r="F32" s="7" t="n">
        <v>1</v>
      </c>
      <c r="G32" s="7" t="inlineStr">
        <is>
          <t>OK: food</t>
        </is>
      </c>
      <c r="H32" s="45" t="n"/>
    </row>
    <row r="33" ht="14.25" customHeight="1" s="46">
      <c r="A33" s="7" t="inlineStr">
        <is>
          <t>Grapes</t>
        </is>
      </c>
      <c r="B33" s="7" t="inlineStr">
        <is>
          <t>food</t>
        </is>
      </c>
      <c r="C33" s="7" t="inlineStr">
        <is>
          <t>charter: vines</t>
        </is>
      </c>
      <c r="D33" s="7" t="n"/>
      <c r="E33" s="7" t="inlineStr">
        <is>
          <t>Winery; food</t>
        </is>
      </c>
      <c r="F33" s="7" t="n">
        <v>2</v>
      </c>
      <c r="G33" s="7" t="inlineStr">
        <is>
          <t>OK: food</t>
        </is>
      </c>
      <c r="H33" s="45" t="n"/>
    </row>
    <row r="34" ht="14.25" customHeight="1" s="46">
      <c r="A34" s="7" t="inlineStr">
        <is>
          <t>Honey</t>
        </is>
      </c>
      <c r="B34" s="7" t="inlineStr">
        <is>
          <t>food</t>
        </is>
      </c>
      <c r="C34" s="7" t="inlineStr">
        <is>
          <t>Beehives (backyard)</t>
        </is>
      </c>
      <c r="D34" s="7" t="inlineStr">
        <is>
          <t>Village</t>
        </is>
      </c>
      <c r="E34" s="7" t="inlineStr">
        <is>
          <t>Brewhouse (mead); food</t>
        </is>
      </c>
      <c r="F34" s="7" t="n">
        <v>2</v>
      </c>
      <c r="G34" s="7" t="inlineStr">
        <is>
          <t>OK: food</t>
        </is>
      </c>
      <c r="H34" s="45" t="n"/>
    </row>
    <row r="35" ht="14.25" customHeight="1" s="46">
      <c r="A35" s="7" t="inlineStr">
        <is>
          <t>Milk</t>
        </is>
      </c>
      <c r="B35" s="7" t="inlineStr">
        <is>
          <t>food</t>
        </is>
      </c>
      <c r="C35" s="7" t="inlineStr">
        <is>
          <t>Cattle</t>
        </is>
      </c>
      <c r="D35" s="7" t="inlineStr">
        <is>
          <t>Village</t>
        </is>
      </c>
      <c r="E35" s="7" t="inlineStr">
        <is>
          <t>Dairy; food</t>
        </is>
      </c>
      <c r="F35" s="7" t="n">
        <v>2</v>
      </c>
      <c r="G35" s="7" t="inlineStr">
        <is>
          <t>OK: food</t>
        </is>
      </c>
      <c r="H35" s="45" t="n"/>
    </row>
    <row r="36" ht="14.25" customHeight="1" s="46">
      <c r="A36" s="7" t="inlineStr">
        <is>
          <t>Cheese</t>
        </is>
      </c>
      <c r="B36" s="7" t="inlineStr">
        <is>
          <t>food</t>
        </is>
      </c>
      <c r="C36" s="7" t="inlineStr">
        <is>
          <t>Dairy</t>
        </is>
      </c>
      <c r="D36" s="7" t="inlineStr">
        <is>
          <t>Village</t>
        </is>
      </c>
      <c r="E36" s="7" t="inlineStr">
        <is>
          <t>food</t>
        </is>
      </c>
      <c r="F36" s="7" t="n">
        <v>1</v>
      </c>
      <c r="G36" s="7" t="inlineStr">
        <is>
          <t>OK: food</t>
        </is>
      </c>
      <c r="H36" s="45" t="n"/>
    </row>
    <row r="37" ht="14.25" customHeight="1" s="46">
      <c r="A37" s="7" t="inlineStr">
        <is>
          <t>Wheat</t>
        </is>
      </c>
      <c r="B37" s="7" t="inlineStr">
        <is>
          <t>goods</t>
        </is>
      </c>
      <c r="C37" s="7" t="inlineStr">
        <is>
          <t>Farmstead + wheat fields</t>
        </is>
      </c>
      <c r="D37" s="7" t="inlineStr">
        <is>
          <t>Hamlet</t>
        </is>
      </c>
      <c r="E37" s="7" t="inlineStr">
        <is>
          <t>Windmill; Watermill</t>
        </is>
      </c>
      <c r="F37" s="7" t="n">
        <v>2</v>
      </c>
      <c r="G37" s="7" t="inlineStr">
        <is>
          <t>OK</t>
        </is>
      </c>
      <c r="H37" s="45" t="n"/>
    </row>
    <row r="38" ht="14.25" customHeight="1" s="46">
      <c r="A38" s="7" t="inlineStr">
        <is>
          <t>Barley</t>
        </is>
      </c>
      <c r="B38" s="7" t="inlineStr">
        <is>
          <t>goods</t>
        </is>
      </c>
      <c r="C38" s="7" t="inlineStr">
        <is>
          <t>Barley</t>
        </is>
      </c>
      <c r="D38" s="7" t="inlineStr">
        <is>
          <t>Village</t>
        </is>
      </c>
      <c r="E38" s="7" t="inlineStr">
        <is>
          <t>Brewhouse; Brewhouse (ale)</t>
        </is>
      </c>
      <c r="F38" s="7" t="n">
        <v>2</v>
      </c>
      <c r="G38" s="7" t="inlineStr">
        <is>
          <t>OK</t>
        </is>
      </c>
      <c r="H38" s="45" t="n"/>
    </row>
    <row r="39" ht="14.25" customHeight="1" s="46">
      <c r="A39" s="7" t="inlineStr">
        <is>
          <t>Oats</t>
        </is>
      </c>
      <c r="B39" s="7" t="inlineStr">
        <is>
          <t>goods</t>
        </is>
      </c>
      <c r="C39" s="7" t="inlineStr">
        <is>
          <t>none (unused)</t>
        </is>
      </c>
      <c r="D39" s="7" t="n"/>
      <c r="E39" s="7" t="n"/>
      <c r="F39" s="7" t="n">
        <v>0</v>
      </c>
      <c r="G39" s="7" t="inlineStr">
        <is>
          <t>Drop (folded into grain long ago)</t>
        </is>
      </c>
      <c r="H39" s="45" t="n"/>
    </row>
    <row r="40" ht="14.25" customHeight="1" s="46">
      <c r="A40" s="7" t="inlineStr">
        <is>
          <t>Flour</t>
        </is>
      </c>
      <c r="B40" s="7" t="inlineStr">
        <is>
          <t>goods</t>
        </is>
      </c>
      <c r="C40" s="7" t="inlineStr">
        <is>
          <t>Windmill</t>
        </is>
      </c>
      <c r="D40" s="7" t="inlineStr">
        <is>
          <t>Village</t>
        </is>
      </c>
      <c r="E40" s="7" t="inlineStr">
        <is>
          <t>Bakery</t>
        </is>
      </c>
      <c r="F40" s="7" t="n">
        <v>1</v>
      </c>
      <c r="G40" s="7" t="inlineStr">
        <is>
          <t>OK: feeds one chain</t>
        </is>
      </c>
      <c r="H40" s="45" t="n"/>
    </row>
    <row r="41" ht="14.25" customHeight="1" s="46">
      <c r="A41" s="7" t="inlineStr">
        <is>
          <t>Flax</t>
        </is>
      </c>
      <c r="B41" s="7" t="inlineStr">
        <is>
          <t>goods</t>
        </is>
      </c>
      <c r="C41" s="7" t="inlineStr">
        <is>
          <t>Flax</t>
        </is>
      </c>
      <c r="D41" s="7" t="inlineStr">
        <is>
          <t>Village</t>
        </is>
      </c>
      <c r="E41" s="7" t="inlineStr">
        <is>
          <t>Weaver (linen); Scriptorium; Scriptorium (paper)</t>
        </is>
      </c>
      <c r="F41" s="7" t="n">
        <v>3</v>
      </c>
      <c r="G41" s="7" t="inlineStr">
        <is>
          <t>OK</t>
        </is>
      </c>
      <c r="H41" s="45" t="n"/>
    </row>
    <row r="42" ht="14.25" customHeight="1" s="46">
      <c r="A42" s="7" t="inlineStr">
        <is>
          <t>Wool</t>
        </is>
      </c>
      <c r="B42" s="7" t="inlineStr">
        <is>
          <t>goods</t>
        </is>
      </c>
      <c r="C42" s="7" t="inlineStr">
        <is>
          <t>Animal farm: sheep and pigs</t>
        </is>
      </c>
      <c r="D42" s="7" t="inlineStr">
        <is>
          <t>Village</t>
        </is>
      </c>
      <c r="E42" s="7" t="inlineStr">
        <is>
          <t>Weaver; Weaver (woollen)</t>
        </is>
      </c>
      <c r="F42" s="7" t="n">
        <v>2</v>
      </c>
      <c r="G42" s="7" t="inlineStr">
        <is>
          <t>OK</t>
        </is>
      </c>
      <c r="H42" s="45" t="n"/>
    </row>
    <row r="43" ht="14.25" customHeight="1" s="46">
      <c r="A43" s="7" t="inlineStr">
        <is>
          <t>Hides</t>
        </is>
      </c>
      <c r="B43" s="7" t="inlineStr">
        <is>
          <t>goods</t>
        </is>
      </c>
      <c r="C43" s="7" t="inlineStr">
        <is>
          <t>Animal farm: sheep and pigs</t>
        </is>
      </c>
      <c r="D43" s="7" t="inlineStr">
        <is>
          <t>Village</t>
        </is>
      </c>
      <c r="E43" s="7" t="inlineStr">
        <is>
          <t>Tannery</t>
        </is>
      </c>
      <c r="F43" s="7" t="n">
        <v>1</v>
      </c>
      <c r="G43" s="7" t="inlineStr">
        <is>
          <t>OK: feeds one chain</t>
        </is>
      </c>
      <c r="H43" s="45" t="n"/>
    </row>
    <row r="44" ht="25.5" customHeight="1" s="46">
      <c r="A44" s="7" t="inlineStr">
        <is>
          <t>Leather</t>
        </is>
      </c>
      <c r="B44" s="7" t="inlineStr">
        <is>
          <t>goods</t>
        </is>
      </c>
      <c r="C44" s="7" t="inlineStr">
        <is>
          <t>Tanner</t>
        </is>
      </c>
      <c r="D44" s="7" t="inlineStr">
        <is>
          <t>Village</t>
        </is>
      </c>
      <c r="E44" s="7" t="inlineStr">
        <is>
          <t>Tailor &amp; Cobbler (boots); Armoury (armour); Scriptorium (books)</t>
        </is>
      </c>
      <c r="F44" s="7" t="n">
        <v>3</v>
      </c>
      <c r="G44" s="7" t="inlineStr">
        <is>
          <t>OK</t>
        </is>
      </c>
      <c r="H44" s="45" t="n"/>
    </row>
    <row r="45" ht="25.5" customHeight="1" s="46">
      <c r="A45" s="7" t="inlineStr">
        <is>
          <t>Cloth</t>
        </is>
      </c>
      <c r="B45" s="7" t="inlineStr">
        <is>
          <t>goods</t>
        </is>
      </c>
      <c r="C45" s="7" t="inlineStr">
        <is>
          <t>Weaver</t>
        </is>
      </c>
      <c r="D45" s="7" t="inlineStr">
        <is>
          <t>Village</t>
        </is>
      </c>
      <c r="E45" s="7" t="inlineStr">
        <is>
          <t>Tailor &amp; Cobbler; Tailor &amp; Cobbler (clothes); Tailor &amp; Cobbler (fine clothes)</t>
        </is>
      </c>
      <c r="F45" s="7" t="n">
        <v>3</v>
      </c>
      <c r="G45" s="7" t="inlineStr">
        <is>
          <t>OK</t>
        </is>
      </c>
      <c r="H45" s="45" t="n"/>
    </row>
    <row r="46" ht="24.75" customHeight="1" s="46">
      <c r="A46" s="7" t="inlineStr">
        <is>
          <t>Clothes</t>
        </is>
      </c>
      <c r="B46" s="7" t="inlineStr">
        <is>
          <t>goods</t>
        </is>
      </c>
      <c r="C46" s="7" t="inlineStr">
        <is>
          <t>Tailor: clothes</t>
        </is>
      </c>
      <c r="D46" s="7" t="inlineStr">
        <is>
          <t>Village</t>
        </is>
      </c>
      <c r="E46" s="7" t="inlineStr">
        <is>
          <t>home need</t>
        </is>
      </c>
      <c r="F46" s="7" t="n">
        <v>1</v>
      </c>
      <c r="G46" s="7" t="inlineStr">
        <is>
          <t>Finished good with one use: add one in step 3</t>
        </is>
      </c>
      <c r="H46" s="45" t="n"/>
    </row>
    <row r="47" ht="24.75" customHeight="1" s="46">
      <c r="A47" s="7" t="inlineStr">
        <is>
          <t>Boots</t>
        </is>
      </c>
      <c r="B47" s="7" t="inlineStr">
        <is>
          <t>goods</t>
        </is>
      </c>
      <c r="C47" s="7" t="inlineStr">
        <is>
          <t>Tailor: boots</t>
        </is>
      </c>
      <c r="D47" s="7" t="inlineStr">
        <is>
          <t>Town</t>
        </is>
      </c>
      <c r="E47" s="7" t="inlineStr">
        <is>
          <t>home need</t>
        </is>
      </c>
      <c r="F47" s="7" t="n">
        <v>1</v>
      </c>
      <c r="G47" s="7" t="inlineStr">
        <is>
          <t>Finished good with one use: add one in step 3</t>
        </is>
      </c>
      <c r="H47" s="45" t="n"/>
    </row>
    <row r="48" ht="24.75" customHeight="1" s="46">
      <c r="A48" s="7" t="inlineStr">
        <is>
          <t>Ale</t>
        </is>
      </c>
      <c r="B48" s="7" t="inlineStr">
        <is>
          <t>goods</t>
        </is>
      </c>
      <c r="C48" s="7" t="inlineStr">
        <is>
          <t>Brewhouse: ale</t>
        </is>
      </c>
      <c r="D48" s="7" t="inlineStr">
        <is>
          <t>Village</t>
        </is>
      </c>
      <c r="E48" s="7" t="inlineStr">
        <is>
          <t>tavern drink</t>
        </is>
      </c>
      <c r="F48" s="7" t="n">
        <v>1</v>
      </c>
      <c r="G48" s="7" t="inlineStr">
        <is>
          <t>Finished good with one use: add one in step 3</t>
        </is>
      </c>
      <c r="H48" s="45" t="n"/>
    </row>
    <row r="49" ht="24.75" customHeight="1" s="46">
      <c r="A49" s="7" t="inlineStr">
        <is>
          <t>Cider</t>
        </is>
      </c>
      <c r="B49" s="7" t="inlineStr">
        <is>
          <t>goods</t>
        </is>
      </c>
      <c r="C49" s="7" t="inlineStr">
        <is>
          <t>Brewhouse: cider</t>
        </is>
      </c>
      <c r="D49" s="7" t="inlineStr">
        <is>
          <t>Village</t>
        </is>
      </c>
      <c r="E49" s="7" t="inlineStr">
        <is>
          <t>tavern drink</t>
        </is>
      </c>
      <c r="F49" s="7" t="n">
        <v>1</v>
      </c>
      <c r="G49" s="7" t="inlineStr">
        <is>
          <t>Finished good with one use: add one in step 3</t>
        </is>
      </c>
      <c r="H49" s="45" t="n"/>
    </row>
    <row r="50" ht="14.25" customHeight="1" s="46">
      <c r="A50" s="7" t="inlineStr">
        <is>
          <t>Wine</t>
        </is>
      </c>
      <c r="B50" s="7" t="inlineStr">
        <is>
          <t>goods</t>
        </is>
      </c>
      <c r="C50" s="7" t="inlineStr">
        <is>
          <t>charter: Winery</t>
        </is>
      </c>
      <c r="D50" s="7" t="n"/>
      <c r="E50" s="7" t="inlineStr">
        <is>
          <t>luxury; tavern drink</t>
        </is>
      </c>
      <c r="F50" s="7" t="n">
        <v>2</v>
      </c>
      <c r="G50" s="7" t="inlineStr">
        <is>
          <t>OK</t>
        </is>
      </c>
      <c r="H50" s="45" t="n"/>
    </row>
    <row r="51" ht="14.25" customHeight="1" s="46">
      <c r="A51" s="7" t="inlineStr">
        <is>
          <t>Mead</t>
        </is>
      </c>
      <c r="B51" s="7" t="inlineStr">
        <is>
          <t>goods</t>
        </is>
      </c>
      <c r="C51" s="7" t="inlineStr">
        <is>
          <t>charter: Meadmakers</t>
        </is>
      </c>
      <c r="D51" s="7" t="n"/>
      <c r="E51" s="7" t="inlineStr">
        <is>
          <t>tavern drink</t>
        </is>
      </c>
      <c r="F51" s="7" t="n">
        <v>2</v>
      </c>
      <c r="G51" s="7" t="inlineStr">
        <is>
          <t>OK</t>
        </is>
      </c>
      <c r="H51" s="45" t="n"/>
    </row>
    <row r="52" ht="14.25" customHeight="1" s="46">
      <c r="A52" s="7" t="inlineStr">
        <is>
          <t>Herbs</t>
        </is>
      </c>
      <c r="B52" s="7" t="inlineStr">
        <is>
          <t>goods</t>
        </is>
      </c>
      <c r="C52" s="7" t="inlineStr">
        <is>
          <t>Forager: herbs</t>
        </is>
      </c>
      <c r="D52" s="7" t="inlineStr">
        <is>
          <t>Hamlet</t>
        </is>
      </c>
      <c r="E52" s="7" t="inlineStr">
        <is>
          <t>Apothecary</t>
        </is>
      </c>
      <c r="F52" s="7" t="n">
        <v>1</v>
      </c>
      <c r="G52" s="7" t="inlineStr">
        <is>
          <t>OK: feeds one chain</t>
        </is>
      </c>
      <c r="H52" s="45" t="n"/>
    </row>
    <row r="53" ht="24.75" customHeight="1" s="46">
      <c r="A53" s="7" t="inlineStr">
        <is>
          <t>Medicine</t>
        </is>
      </c>
      <c r="B53" s="7" t="inlineStr">
        <is>
          <t>goods</t>
        </is>
      </c>
      <c r="C53" s="7" t="inlineStr">
        <is>
          <t>Apothecary</t>
        </is>
      </c>
      <c r="D53" s="7" t="inlineStr">
        <is>
          <t>Town</t>
        </is>
      </c>
      <c r="E53" s="7" t="inlineStr">
        <is>
          <t>home need</t>
        </is>
      </c>
      <c r="F53" s="7" t="n">
        <v>1</v>
      </c>
      <c r="G53" s="7" t="inlineStr">
        <is>
          <t>Finished good with one use: add one in step 3</t>
        </is>
      </c>
      <c r="H53" s="45" t="n"/>
    </row>
    <row r="54" ht="39" customHeight="1" s="46">
      <c r="A54" s="7" t="inlineStr">
        <is>
          <t>Tools</t>
        </is>
      </c>
      <c r="B54" s="7" t="inlineStr">
        <is>
          <t>goods</t>
        </is>
      </c>
      <c r="C54" s="7" t="inlineStr">
        <is>
          <t>Blacksmith</t>
        </is>
      </c>
      <c r="D54" s="7" t="inlineStr">
        <is>
          <t>Town</t>
        </is>
      </c>
      <c r="E54" s="7" t="inlineStr">
        <is>
          <t>builds Lord's Statue; builds Cathedral; builds Guildhall; upgrade to Townhouse; upgrade to Merchant's House; upkeep</t>
        </is>
      </c>
      <c r="F54" s="7" t="n">
        <v>6</v>
      </c>
      <c r="G54" s="7" t="inlineStr">
        <is>
          <t>OK</t>
        </is>
      </c>
      <c r="H54" s="45" t="n"/>
    </row>
    <row r="55" ht="14.25" customHeight="1" s="46">
      <c r="A55" s="7" t="inlineStr">
        <is>
          <t>Paper</t>
        </is>
      </c>
      <c r="B55" s="7" t="inlineStr">
        <is>
          <t>goods</t>
        </is>
      </c>
      <c r="C55" s="7" t="inlineStr">
        <is>
          <t>charter: Scriptorium</t>
        </is>
      </c>
      <c r="D55" s="7" t="n"/>
      <c r="E55" s="7" t="inlineStr">
        <is>
          <t>Scriptorium (books)</t>
        </is>
      </c>
      <c r="F55" s="7" t="n">
        <v>1</v>
      </c>
      <c r="G55" s="7" t="inlineStr">
        <is>
          <t>OK: feeds one chain</t>
        </is>
      </c>
      <c r="H55" s="45" t="n"/>
    </row>
    <row r="56" ht="14.25" customHeight="1" s="46">
      <c r="A56" s="7" t="inlineStr">
        <is>
          <t>Woad</t>
        </is>
      </c>
      <c r="B56" s="7" t="inlineStr">
        <is>
          <t>goods</t>
        </is>
      </c>
      <c r="C56" s="7" t="inlineStr">
        <is>
          <t>Woad</t>
        </is>
      </c>
      <c r="D56" s="7" t="inlineStr">
        <is>
          <t>Town</t>
        </is>
      </c>
      <c r="E56" s="7" t="inlineStr">
        <is>
          <t>Dyer's Workshop</t>
        </is>
      </c>
      <c r="F56" s="7" t="n">
        <v>1</v>
      </c>
      <c r="G56" s="7" t="inlineStr">
        <is>
          <t>OK: feeds one chain</t>
        </is>
      </c>
      <c r="H56" s="45" t="n"/>
    </row>
    <row r="57" ht="14.25" customHeight="1" s="46">
      <c r="A57" s="7" t="inlineStr">
        <is>
          <t>Dyes</t>
        </is>
      </c>
      <c r="B57" s="7" t="inlineStr">
        <is>
          <t>goods</t>
        </is>
      </c>
      <c r="C57" s="7" t="inlineStr">
        <is>
          <t>Dyer</t>
        </is>
      </c>
      <c r="D57" s="7" t="inlineStr">
        <is>
          <t>Town</t>
        </is>
      </c>
      <c r="E57" s="7" t="inlineStr">
        <is>
          <t>Tailor &amp; Cobbler (fine clothes); Glassworks (stained glass)</t>
        </is>
      </c>
      <c r="F57" s="7" t="n">
        <v>2</v>
      </c>
      <c r="G57" s="7" t="inlineStr">
        <is>
          <t>OK</t>
        </is>
      </c>
      <c r="H57" s="45" t="n"/>
    </row>
    <row r="58" ht="24.75" customHeight="1" s="46">
      <c r="A58" s="7" t="inlineStr">
        <is>
          <t>Fine Clothes</t>
        </is>
      </c>
      <c r="B58" s="7" t="inlineStr">
        <is>
          <t>goods</t>
        </is>
      </c>
      <c r="C58" s="7" t="inlineStr">
        <is>
          <t>step 3: Tailor recipe</t>
        </is>
      </c>
      <c r="D58" s="7" t="n"/>
      <c r="E58" s="7" t="inlineStr">
        <is>
          <t>luxury</t>
        </is>
      </c>
      <c r="F58" s="7" t="n">
        <v>1</v>
      </c>
      <c r="G58" s="7" t="inlineStr">
        <is>
          <t>Finished good with one use: add one in step 3</t>
        </is>
      </c>
      <c r="H58" s="45" t="n"/>
    </row>
    <row r="59" ht="14.25" customHeight="1" s="46">
      <c r="A59" s="7" t="inlineStr">
        <is>
          <t>Books</t>
        </is>
      </c>
      <c r="B59" s="7" t="inlineStr">
        <is>
          <t>goods</t>
        </is>
      </c>
      <c r="C59" s="7" t="inlineStr">
        <is>
          <t>charter: Scriptorium, or import</t>
        </is>
      </c>
      <c r="D59" s="7" t="n"/>
      <c r="E59" s="7" t="inlineStr">
        <is>
          <t>builds University;</t>
        </is>
      </c>
      <c r="F59" s="7" t="n">
        <v>2</v>
      </c>
      <c r="G59" s="7" t="inlineStr">
        <is>
          <t>OK</t>
        </is>
      </c>
      <c r="H59" s="45" t="n"/>
    </row>
    <row r="60" ht="24.75" customHeight="1" s="46">
      <c r="A60" s="7" t="inlineStr">
        <is>
          <t>Jewellery</t>
        </is>
      </c>
      <c r="B60" s="7" t="inlineStr">
        <is>
          <t>goods</t>
        </is>
      </c>
      <c r="C60" s="7" t="inlineStr">
        <is>
          <t>step 3 (charter)</t>
        </is>
      </c>
      <c r="D60" s="7" t="n"/>
      <c r="E60" s="7" t="inlineStr">
        <is>
          <t>luxury</t>
        </is>
      </c>
      <c r="F60" s="7" t="n">
        <v>1</v>
      </c>
      <c r="G60" s="7" t="inlineStr">
        <is>
          <t>Finished good with one use: add one in step 3</t>
        </is>
      </c>
      <c r="H60" s="45" t="n"/>
    </row>
    <row r="61" ht="24.75" customHeight="1" s="46">
      <c r="A61" s="7" t="inlineStr">
        <is>
          <t>Fine Pottery</t>
        </is>
      </c>
      <c r="B61" s="7" t="inlineStr">
        <is>
          <t>goods</t>
        </is>
      </c>
      <c r="C61" s="7" t="inlineStr">
        <is>
          <t>Potter</t>
        </is>
      </c>
      <c r="D61" s="7" t="inlineStr">
        <is>
          <t>Town</t>
        </is>
      </c>
      <c r="E61" s="7" t="inlineStr">
        <is>
          <t>luxury</t>
        </is>
      </c>
      <c r="F61" s="7" t="n">
        <v>1</v>
      </c>
      <c r="G61" s="7" t="inlineStr">
        <is>
          <t>Finished good with one use: add one in step 3</t>
        </is>
      </c>
      <c r="H61" s="45" t="n"/>
    </row>
    <row r="62" ht="24.75" customHeight="1" s="46">
      <c r="A62" s="7" t="inlineStr">
        <is>
          <t>Arms</t>
        </is>
      </c>
      <c r="B62" s="7" t="inlineStr">
        <is>
          <t>goods</t>
        </is>
      </c>
      <c r="C62" s="7" t="inlineStr">
        <is>
          <t>step 3: Armoury</t>
        </is>
      </c>
      <c r="D62" s="7" t="n"/>
      <c r="E62" s="7" t="inlineStr">
        <is>
          <t>the lord's retinue</t>
        </is>
      </c>
      <c r="F62" s="7" t="n">
        <v>1</v>
      </c>
      <c r="G62" s="7" t="inlineStr">
        <is>
          <t>Finished good with one use: add one in step 3</t>
        </is>
      </c>
      <c r="H62" s="45" t="inlineStr">
        <is>
          <t>Let's remove arms and make armoury a manor building that gives prestige and unlocks visuals (discuss later in manor)</t>
        </is>
      </c>
    </row>
    <row r="63" ht="14.25" customHeight="1" s="46">
      <c r="A63" s="2" t="n"/>
      <c r="B63" s="2" t="n"/>
      <c r="C63" s="2" t="n"/>
      <c r="D63" s="2" t="n"/>
      <c r="E63" s="2" t="n"/>
      <c r="F63" s="2" t="n"/>
      <c r="G63" s="2" t="n"/>
      <c r="H63" s="2" t="n"/>
    </row>
    <row r="64" ht="14.25" customHeight="1" s="46">
      <c r="A64" s="2" t="n"/>
      <c r="B64" s="2" t="n"/>
      <c r="C64" s="2" t="n"/>
      <c r="D64" s="2" t="n"/>
      <c r="E64" s="2" t="n"/>
      <c r="F64" s="2" t="n"/>
      <c r="G64" s="2" t="n"/>
      <c r="H64" s="2" t="n"/>
    </row>
    <row r="65" ht="14.25" customHeight="1" s="46">
      <c r="A65" s="2" t="n"/>
      <c r="B65" s="2" t="n"/>
      <c r="C65" s="2" t="n"/>
      <c r="D65" s="2" t="n"/>
      <c r="E65" s="2" t="n"/>
      <c r="F65" s="2" t="n"/>
      <c r="G65" s="2" t="n"/>
      <c r="H65" s="2" t="n"/>
    </row>
    <row r="66" ht="14.25" customHeight="1" s="46">
      <c r="A66" s="2" t="n"/>
      <c r="B66" s="2" t="n"/>
      <c r="C66" s="2" t="n"/>
      <c r="D66" s="2" t="n"/>
      <c r="E66" s="2" t="n"/>
      <c r="F66" s="2" t="n"/>
      <c r="G66" s="2" t="n"/>
      <c r="H66" s="2" t="n"/>
    </row>
    <row r="67" ht="14.25" customHeight="1" s="46">
      <c r="A67" s="2" t="n"/>
      <c r="B67" s="2" t="n"/>
      <c r="C67" s="2" t="n"/>
      <c r="D67" s="2" t="n"/>
      <c r="E67" s="2" t="n"/>
      <c r="F67" s="2" t="n"/>
      <c r="G67" s="2" t="n"/>
      <c r="H67" s="2" t="n"/>
    </row>
    <row r="68" ht="14.25" customHeight="1" s="46">
      <c r="A68" s="2" t="n"/>
      <c r="B68" s="2" t="n"/>
      <c r="C68" s="2" t="n"/>
      <c r="D68" s="2" t="n"/>
      <c r="E68" s="2" t="n"/>
      <c r="F68" s="2" t="n"/>
      <c r="G68" s="2" t="n"/>
      <c r="H68" s="2" t="n"/>
    </row>
    <row r="69" ht="14.25" customHeight="1" s="46">
      <c r="A69" s="2" t="n"/>
      <c r="B69" s="2" t="n"/>
      <c r="C69" s="2" t="n"/>
      <c r="D69" s="2" t="n"/>
      <c r="E69" s="2" t="n"/>
      <c r="F69" s="2" t="n"/>
      <c r="G69" s="2" t="n"/>
      <c r="H69" s="2" t="n"/>
    </row>
    <row r="70" ht="14.25" customHeight="1" s="46">
      <c r="A70" s="2" t="n"/>
      <c r="B70" s="2" t="n"/>
      <c r="C70" s="2" t="n"/>
      <c r="D70" s="2" t="n"/>
      <c r="E70" s="2" t="n"/>
      <c r="F70" s="2" t="n"/>
      <c r="G70" s="2" t="n"/>
      <c r="H70" s="2" t="n"/>
    </row>
    <row r="71" ht="14.25" customHeight="1" s="46">
      <c r="A71" s="2" t="n"/>
      <c r="B71" s="2" t="n"/>
      <c r="C71" s="2" t="n"/>
      <c r="D71" s="2" t="n"/>
      <c r="E71" s="2" t="n"/>
      <c r="F71" s="2" t="n"/>
      <c r="G71" s="2" t="n"/>
      <c r="H71" s="2" t="n"/>
    </row>
    <row r="72" ht="14.25" customHeight="1" s="46">
      <c r="A72" s="2" t="n"/>
      <c r="B72" s="2" t="n"/>
      <c r="C72" s="2" t="n"/>
      <c r="D72" s="2" t="n"/>
      <c r="E72" s="2" t="n"/>
      <c r="F72" s="2" t="n"/>
      <c r="G72" s="2" t="n"/>
      <c r="H72" s="2" t="n"/>
    </row>
    <row r="73" ht="14.25" customHeight="1" s="46">
      <c r="A73" s="2" t="n"/>
      <c r="B73" s="2" t="n"/>
      <c r="C73" s="2" t="n"/>
      <c r="D73" s="2" t="n"/>
      <c r="E73" s="2" t="n"/>
      <c r="F73" s="2" t="n"/>
      <c r="G73" s="2" t="n"/>
      <c r="H73" s="2" t="n"/>
    </row>
    <row r="74" ht="14.25" customHeight="1" s="46">
      <c r="A74" s="2" t="n"/>
      <c r="B74" s="2" t="n"/>
      <c r="C74" s="2" t="n"/>
      <c r="D74" s="2" t="n"/>
      <c r="E74" s="2" t="n"/>
      <c r="F74" s="2" t="n"/>
      <c r="G74" s="2" t="n"/>
      <c r="H74" s="2" t="n"/>
    </row>
    <row r="75" ht="14.25" customHeight="1" s="46">
      <c r="A75" s="2" t="n"/>
      <c r="B75" s="2" t="n"/>
      <c r="C75" s="2" t="n"/>
      <c r="D75" s="2" t="n"/>
      <c r="E75" s="2" t="n"/>
      <c r="F75" s="2" t="n"/>
      <c r="G75" s="2" t="n"/>
      <c r="H75" s="2" t="n"/>
    </row>
    <row r="76" ht="14.25" customHeight="1" s="46">
      <c r="A76" s="2" t="n"/>
      <c r="B76" s="2" t="n"/>
      <c r="C76" s="2" t="n"/>
      <c r="D76" s="2" t="n"/>
      <c r="E76" s="2" t="n"/>
      <c r="F76" s="2" t="n"/>
      <c r="G76" s="2" t="n"/>
      <c r="H76" s="2" t="n"/>
    </row>
    <row r="77" ht="14.25" customHeight="1" s="46">
      <c r="A77" s="2" t="n"/>
      <c r="B77" s="2" t="n"/>
      <c r="C77" s="2" t="n"/>
      <c r="D77" s="2" t="n"/>
      <c r="E77" s="2" t="n"/>
      <c r="F77" s="2" t="n"/>
      <c r="G77" s="2" t="n"/>
      <c r="H77" s="2" t="n"/>
    </row>
    <row r="78" ht="14.25" customHeight="1" s="46">
      <c r="A78" s="2" t="n"/>
      <c r="B78" s="2" t="n"/>
      <c r="C78" s="2" t="n"/>
      <c r="D78" s="2" t="n"/>
      <c r="E78" s="2" t="n"/>
      <c r="F78" s="2" t="n"/>
      <c r="G78" s="2" t="n"/>
      <c r="H78" s="2" t="n"/>
    </row>
    <row r="79" ht="14.25" customHeight="1" s="46">
      <c r="A79" s="2" t="n"/>
      <c r="B79" s="2" t="n"/>
      <c r="C79" s="2" t="n"/>
      <c r="D79" s="2" t="n"/>
      <c r="E79" s="2" t="n"/>
      <c r="F79" s="2" t="n"/>
      <c r="G79" s="2" t="n"/>
      <c r="H79" s="2" t="n"/>
    </row>
    <row r="80" ht="14.25" customHeight="1" s="46">
      <c r="A80" s="2" t="n"/>
      <c r="B80" s="2" t="n"/>
      <c r="C80" s="2" t="n"/>
      <c r="D80" s="2" t="n"/>
      <c r="E80" s="2" t="n"/>
      <c r="F80" s="2" t="n"/>
      <c r="G80" s="2" t="n"/>
      <c r="H80" s="2" t="n"/>
    </row>
    <row r="81" ht="14.25" customHeight="1" s="46">
      <c r="A81" s="2" t="n"/>
      <c r="B81" s="2" t="n"/>
      <c r="C81" s="2" t="n"/>
      <c r="D81" s="2" t="n"/>
      <c r="E81" s="2" t="n"/>
      <c r="F81" s="2" t="n"/>
      <c r="G81" s="2" t="n"/>
      <c r="H81" s="2" t="n"/>
    </row>
    <row r="82" ht="14.25" customHeight="1" s="46">
      <c r="A82" s="2" t="n"/>
      <c r="B82" s="2" t="n"/>
      <c r="C82" s="2" t="n"/>
      <c r="D82" s="2" t="n"/>
      <c r="E82" s="2" t="n"/>
      <c r="F82" s="2" t="n"/>
      <c r="G82" s="2" t="n"/>
      <c r="H82" s="2" t="n"/>
    </row>
    <row r="83" ht="14.25" customHeight="1" s="46">
      <c r="A83" s="2" t="n"/>
      <c r="B83" s="2" t="n"/>
      <c r="C83" s="2" t="n"/>
      <c r="D83" s="2" t="n"/>
      <c r="E83" s="2" t="n"/>
      <c r="F83" s="2" t="n"/>
      <c r="G83" s="2" t="n"/>
      <c r="H83" s="2" t="n"/>
    </row>
    <row r="84" ht="14.25" customHeight="1" s="46">
      <c r="A84" s="2" t="n"/>
      <c r="B84" s="2" t="n"/>
      <c r="C84" s="2" t="n"/>
      <c r="D84" s="2" t="n"/>
      <c r="E84" s="2" t="n"/>
      <c r="F84" s="2" t="n"/>
      <c r="G84" s="2" t="n"/>
      <c r="H84" s="2" t="n"/>
    </row>
    <row r="85" ht="14.25" customHeight="1" s="46">
      <c r="A85" s="2" t="n"/>
      <c r="B85" s="2" t="n"/>
      <c r="C85" s="2" t="n"/>
      <c r="D85" s="2" t="n"/>
      <c r="E85" s="2" t="n"/>
      <c r="F85" s="2" t="n"/>
      <c r="G85" s="2" t="n"/>
      <c r="H85" s="2" t="n"/>
    </row>
    <row r="86" ht="14.25" customHeight="1" s="46">
      <c r="A86" s="2" t="n"/>
      <c r="B86" s="2" t="n"/>
      <c r="C86" s="2" t="n"/>
      <c r="D86" s="2" t="n"/>
      <c r="E86" s="2" t="n"/>
      <c r="F86" s="2" t="n"/>
      <c r="G86" s="2" t="n"/>
      <c r="H86" s="2" t="n"/>
    </row>
    <row r="87" ht="14.25" customHeight="1" s="46">
      <c r="A87" s="2" t="n"/>
      <c r="B87" s="2" t="n"/>
      <c r="C87" s="2" t="n"/>
      <c r="D87" s="2" t="n"/>
      <c r="E87" s="2" t="n"/>
      <c r="F87" s="2" t="n"/>
      <c r="G87" s="2" t="n"/>
      <c r="H87" s="2" t="n"/>
    </row>
    <row r="88" ht="14.25" customHeight="1" s="46">
      <c r="A88" s="2" t="n"/>
      <c r="B88" s="2" t="n"/>
      <c r="C88" s="2" t="n"/>
      <c r="D88" s="2" t="n"/>
      <c r="E88" s="2" t="n"/>
      <c r="F88" s="2" t="n"/>
      <c r="G88" s="2" t="n"/>
      <c r="H88" s="2" t="n"/>
    </row>
    <row r="89" ht="14.25" customHeight="1" s="46">
      <c r="A89" s="2" t="n"/>
      <c r="B89" s="2" t="n"/>
      <c r="C89" s="2" t="n"/>
      <c r="D89" s="2" t="n"/>
      <c r="E89" s="2" t="n"/>
      <c r="F89" s="2" t="n"/>
      <c r="G89" s="2" t="n"/>
      <c r="H89" s="2" t="n"/>
    </row>
    <row r="90" ht="14.25" customHeight="1" s="46">
      <c r="A90" s="2" t="n"/>
      <c r="B90" s="2" t="n"/>
      <c r="C90" s="2" t="n"/>
      <c r="D90" s="2" t="n"/>
      <c r="E90" s="2" t="n"/>
      <c r="F90" s="2" t="n"/>
      <c r="G90" s="2" t="n"/>
      <c r="H90" s="2" t="n"/>
    </row>
    <row r="91" ht="14.25" customHeight="1" s="46">
      <c r="A91" s="2" t="n"/>
      <c r="B91" s="2" t="n"/>
      <c r="C91" s="2" t="n"/>
      <c r="D91" s="2" t="n"/>
      <c r="E91" s="2" t="n"/>
      <c r="F91" s="2" t="n"/>
      <c r="G91" s="2" t="n"/>
      <c r="H91" s="2" t="n"/>
    </row>
    <row r="92" ht="14.25" customHeight="1" s="46">
      <c r="A92" s="2" t="n"/>
      <c r="B92" s="2" t="n"/>
      <c r="C92" s="2" t="n"/>
      <c r="D92" s="2" t="n"/>
      <c r="E92" s="2" t="n"/>
      <c r="F92" s="2" t="n"/>
      <c r="G92" s="2" t="n"/>
      <c r="H92" s="2" t="n"/>
    </row>
    <row r="93" ht="14.25" customHeight="1" s="46">
      <c r="A93" s="2" t="n"/>
      <c r="B93" s="2" t="n"/>
      <c r="C93" s="2" t="n"/>
      <c r="D93" s="2" t="n"/>
      <c r="E93" s="2" t="n"/>
      <c r="F93" s="2" t="n"/>
      <c r="G93" s="2" t="n"/>
      <c r="H93" s="2" t="n"/>
    </row>
    <row r="94" ht="14.25" customHeight="1" s="46">
      <c r="A94" s="2" t="n"/>
      <c r="B94" s="2" t="n"/>
      <c r="C94" s="2" t="n"/>
      <c r="D94" s="2" t="n"/>
      <c r="E94" s="2" t="n"/>
      <c r="F94" s="2" t="n"/>
      <c r="G94" s="2" t="n"/>
      <c r="H94" s="2" t="n"/>
    </row>
    <row r="95" ht="14.25" customHeight="1" s="46">
      <c r="A95" s="2" t="n"/>
      <c r="B95" s="2" t="n"/>
      <c r="C95" s="2" t="n"/>
      <c r="D95" s="2" t="n"/>
      <c r="E95" s="2" t="n"/>
      <c r="F95" s="2" t="n"/>
      <c r="G95" s="2" t="n"/>
      <c r="H95" s="2" t="n"/>
    </row>
    <row r="96" ht="14.25" customHeight="1" s="46">
      <c r="A96" s="2" t="n"/>
      <c r="B96" s="2" t="n"/>
      <c r="C96" s="2" t="n"/>
      <c r="D96" s="2" t="n"/>
      <c r="E96" s="2" t="n"/>
      <c r="F96" s="2" t="n"/>
      <c r="G96" s="2" t="n"/>
      <c r="H96" s="2" t="n"/>
    </row>
    <row r="97" ht="14.25" customHeight="1" s="46">
      <c r="A97" s="2" t="n"/>
      <c r="B97" s="2" t="n"/>
      <c r="C97" s="2" t="n"/>
      <c r="D97" s="2" t="n"/>
      <c r="E97" s="2" t="n"/>
      <c r="F97" s="2" t="n"/>
      <c r="G97" s="2" t="n"/>
      <c r="H97" s="2" t="n"/>
    </row>
    <row r="98" ht="14.25" customHeight="1" s="46">
      <c r="A98" s="2" t="n"/>
      <c r="B98" s="2" t="n"/>
      <c r="C98" s="2" t="n"/>
      <c r="D98" s="2" t="n"/>
      <c r="E98" s="2" t="n"/>
      <c r="F98" s="2" t="n"/>
      <c r="G98" s="2" t="n"/>
      <c r="H98" s="2" t="n"/>
    </row>
    <row r="99" ht="14.25" customHeight="1" s="46">
      <c r="A99" s="2" t="n"/>
      <c r="B99" s="2" t="n"/>
      <c r="C99" s="2" t="n"/>
      <c r="D99" s="2" t="n"/>
      <c r="E99" s="2" t="n"/>
      <c r="F99" s="2" t="n"/>
      <c r="G99" s="2" t="n"/>
      <c r="H99" s="2" t="n"/>
    </row>
    <row r="100" ht="14.25" customHeight="1" s="46">
      <c r="A100" s="2" t="n"/>
      <c r="B100" s="2" t="n"/>
      <c r="C100" s="2" t="n"/>
      <c r="D100" s="2" t="n"/>
      <c r="E100" s="2" t="n"/>
      <c r="F100" s="2" t="n"/>
      <c r="G100" s="2" t="n"/>
      <c r="H100" s="2" t="n"/>
    </row>
    <row r="101" ht="14.25" customHeight="1" s="46">
      <c r="A101" s="2" t="n"/>
      <c r="B101" s="2" t="n"/>
      <c r="C101" s="2" t="n"/>
      <c r="D101" s="2" t="n"/>
      <c r="E101" s="2" t="n"/>
      <c r="F101" s="2" t="n"/>
      <c r="G101" s="2" t="n"/>
      <c r="H101" s="2" t="n"/>
    </row>
    <row r="102" ht="14.25" customHeight="1" s="46">
      <c r="A102" s="2" t="n"/>
      <c r="B102" s="2" t="n"/>
      <c r="C102" s="2" t="n"/>
      <c r="D102" s="2" t="n"/>
      <c r="E102" s="2" t="n"/>
      <c r="F102" s="2" t="n"/>
      <c r="G102" s="2" t="n"/>
      <c r="H102" s="2" t="n"/>
    </row>
    <row r="103" ht="14.25" customHeight="1" s="46">
      <c r="A103" s="2" t="n"/>
      <c r="B103" s="2" t="n"/>
      <c r="C103" s="2" t="n"/>
      <c r="D103" s="2" t="n"/>
      <c r="E103" s="2" t="n"/>
      <c r="F103" s="2" t="n"/>
      <c r="G103" s="2" t="n"/>
      <c r="H103" s="2" t="n"/>
    </row>
    <row r="104" ht="14.25" customHeight="1" s="46">
      <c r="A104" s="2" t="n"/>
      <c r="B104" s="2" t="n"/>
      <c r="C104" s="2" t="n"/>
      <c r="D104" s="2" t="n"/>
      <c r="E104" s="2" t="n"/>
      <c r="F104" s="2" t="n"/>
      <c r="G104" s="2" t="n"/>
      <c r="H104" s="2" t="n"/>
    </row>
    <row r="105" ht="14.25" customHeight="1" s="46">
      <c r="A105" s="2" t="n"/>
      <c r="B105" s="2" t="n"/>
      <c r="C105" s="2" t="n"/>
      <c r="D105" s="2" t="n"/>
      <c r="E105" s="2" t="n"/>
      <c r="F105" s="2" t="n"/>
      <c r="G105" s="2" t="n"/>
      <c r="H105" s="2" t="n"/>
    </row>
    <row r="106" ht="14.25" customHeight="1" s="46">
      <c r="A106" s="2" t="n"/>
      <c r="B106" s="2" t="n"/>
      <c r="C106" s="2" t="n"/>
      <c r="D106" s="2" t="n"/>
      <c r="E106" s="2" t="n"/>
      <c r="F106" s="2" t="n"/>
      <c r="G106" s="2" t="n"/>
      <c r="H106" s="2" t="n"/>
    </row>
    <row r="107" ht="14.25" customHeight="1" s="46">
      <c r="A107" s="2" t="n"/>
      <c r="B107" s="2" t="n"/>
      <c r="C107" s="2" t="n"/>
      <c r="D107" s="2" t="n"/>
      <c r="E107" s="2" t="n"/>
      <c r="F107" s="2" t="n"/>
      <c r="G107" s="2" t="n"/>
      <c r="H107" s="2" t="n"/>
    </row>
    <row r="108" ht="14.25" customHeight="1" s="46">
      <c r="A108" s="2" t="n"/>
      <c r="B108" s="2" t="n"/>
      <c r="C108" s="2" t="n"/>
      <c r="D108" s="2" t="n"/>
      <c r="E108" s="2" t="n"/>
      <c r="F108" s="2" t="n"/>
      <c r="G108" s="2" t="n"/>
      <c r="H108" s="2" t="n"/>
    </row>
    <row r="109" ht="14.25" customHeight="1" s="46">
      <c r="A109" s="2" t="n"/>
      <c r="B109" s="2" t="n"/>
      <c r="C109" s="2" t="n"/>
      <c r="D109" s="2" t="n"/>
      <c r="E109" s="2" t="n"/>
      <c r="F109" s="2" t="n"/>
      <c r="G109" s="2" t="n"/>
      <c r="H109" s="2" t="n"/>
    </row>
    <row r="110" ht="14.25" customHeight="1" s="46">
      <c r="A110" s="2" t="n"/>
      <c r="B110" s="2" t="n"/>
      <c r="C110" s="2" t="n"/>
      <c r="D110" s="2" t="n"/>
      <c r="E110" s="2" t="n"/>
      <c r="F110" s="2" t="n"/>
      <c r="G110" s="2" t="n"/>
      <c r="H110" s="2" t="n"/>
    </row>
    <row r="111" ht="14.25" customHeight="1" s="46">
      <c r="A111" s="2" t="n"/>
      <c r="B111" s="2" t="n"/>
      <c r="C111" s="2" t="n"/>
      <c r="D111" s="2" t="n"/>
      <c r="E111" s="2" t="n"/>
      <c r="F111" s="2" t="n"/>
      <c r="G111" s="2" t="n"/>
      <c r="H111" s="2" t="n"/>
    </row>
    <row r="112" ht="14.25" customHeight="1" s="46">
      <c r="A112" s="2" t="n"/>
      <c r="B112" s="2" t="n"/>
      <c r="C112" s="2" t="n"/>
      <c r="D112" s="2" t="n"/>
      <c r="E112" s="2" t="n"/>
      <c r="F112" s="2" t="n"/>
      <c r="G112" s="2" t="n"/>
      <c r="H112" s="2" t="n"/>
    </row>
    <row r="113" ht="14.25" customHeight="1" s="46">
      <c r="A113" s="2" t="n"/>
      <c r="B113" s="2" t="n"/>
      <c r="C113" s="2" t="n"/>
      <c r="D113" s="2" t="n"/>
      <c r="E113" s="2" t="n"/>
      <c r="F113" s="2" t="n"/>
      <c r="G113" s="2" t="n"/>
      <c r="H113" s="2" t="n"/>
    </row>
    <row r="114" ht="14.25" customHeight="1" s="46">
      <c r="A114" s="2" t="n"/>
      <c r="B114" s="2" t="n"/>
      <c r="C114" s="2" t="n"/>
      <c r="D114" s="2" t="n"/>
      <c r="E114" s="2" t="n"/>
      <c r="F114" s="2" t="n"/>
      <c r="G114" s="2" t="n"/>
      <c r="H114" s="2" t="n"/>
    </row>
    <row r="115" ht="14.25" customHeight="1" s="46">
      <c r="A115" s="2" t="n"/>
      <c r="B115" s="2" t="n"/>
      <c r="C115" s="2" t="n"/>
      <c r="D115" s="2" t="n"/>
      <c r="E115" s="2" t="n"/>
      <c r="F115" s="2" t="n"/>
      <c r="G115" s="2" t="n"/>
      <c r="H115" s="2" t="n"/>
    </row>
    <row r="116" ht="14.25" customHeight="1" s="46">
      <c r="A116" s="2" t="n"/>
      <c r="B116" s="2" t="n"/>
      <c r="C116" s="2" t="n"/>
      <c r="D116" s="2" t="n"/>
      <c r="E116" s="2" t="n"/>
      <c r="F116" s="2" t="n"/>
      <c r="G116" s="2" t="n"/>
      <c r="H116" s="2" t="n"/>
    </row>
    <row r="117" ht="14.25" customHeight="1" s="46">
      <c r="A117" s="2" t="n"/>
      <c r="B117" s="2" t="n"/>
      <c r="C117" s="2" t="n"/>
      <c r="D117" s="2" t="n"/>
      <c r="E117" s="2" t="n"/>
      <c r="F117" s="2" t="n"/>
      <c r="G117" s="2" t="n"/>
      <c r="H117" s="2" t="n"/>
    </row>
    <row r="118" ht="14.25" customHeight="1" s="46">
      <c r="A118" s="2" t="n"/>
      <c r="B118" s="2" t="n"/>
      <c r="C118" s="2" t="n"/>
      <c r="D118" s="2" t="n"/>
      <c r="E118" s="2" t="n"/>
      <c r="F118" s="2" t="n"/>
      <c r="G118" s="2" t="n"/>
      <c r="H118" s="2" t="n"/>
    </row>
    <row r="119" ht="14.25" customHeight="1" s="46">
      <c r="A119" s="2" t="n"/>
      <c r="B119" s="2" t="n"/>
      <c r="C119" s="2" t="n"/>
      <c r="D119" s="2" t="n"/>
      <c r="E119" s="2" t="n"/>
      <c r="F119" s="2" t="n"/>
      <c r="G119" s="2" t="n"/>
      <c r="H119" s="2" t="n"/>
    </row>
    <row r="120" ht="14.25" customHeight="1" s="46">
      <c r="A120" s="2" t="n"/>
      <c r="B120" s="2" t="n"/>
      <c r="C120" s="2" t="n"/>
      <c r="D120" s="2" t="n"/>
      <c r="E120" s="2" t="n"/>
      <c r="F120" s="2" t="n"/>
      <c r="G120" s="2" t="n"/>
      <c r="H120" s="2" t="n"/>
    </row>
    <row r="121" ht="14.25" customHeight="1" s="46">
      <c r="A121" s="2" t="n"/>
      <c r="B121" s="2" t="n"/>
      <c r="C121" s="2" t="n"/>
      <c r="D121" s="2" t="n"/>
      <c r="E121" s="2" t="n"/>
      <c r="F121" s="2" t="n"/>
      <c r="G121" s="2" t="n"/>
      <c r="H121" s="2" t="n"/>
    </row>
    <row r="122" ht="14.25" customHeight="1" s="46">
      <c r="A122" s="2" t="n"/>
      <c r="B122" s="2" t="n"/>
      <c r="C122" s="2" t="n"/>
      <c r="D122" s="2" t="n"/>
      <c r="E122" s="2" t="n"/>
      <c r="F122" s="2" t="n"/>
      <c r="G122" s="2" t="n"/>
      <c r="H122" s="2" t="n"/>
    </row>
    <row r="123" ht="14.25" customHeight="1" s="46">
      <c r="A123" s="2" t="n"/>
      <c r="B123" s="2" t="n"/>
      <c r="C123" s="2" t="n"/>
      <c r="D123" s="2" t="n"/>
      <c r="E123" s="2" t="n"/>
      <c r="F123" s="2" t="n"/>
      <c r="G123" s="2" t="n"/>
      <c r="H123" s="2" t="n"/>
    </row>
    <row r="124" ht="14.25" customHeight="1" s="46">
      <c r="A124" s="2" t="n"/>
      <c r="B124" s="2" t="n"/>
      <c r="C124" s="2" t="n"/>
      <c r="D124" s="2" t="n"/>
      <c r="E124" s="2" t="n"/>
      <c r="F124" s="2" t="n"/>
      <c r="G124" s="2" t="n"/>
      <c r="H124" s="2" t="n"/>
    </row>
    <row r="125" ht="14.25" customHeight="1" s="46">
      <c r="A125" s="2" t="n"/>
      <c r="B125" s="2" t="n"/>
      <c r="C125" s="2" t="n"/>
      <c r="D125" s="2" t="n"/>
      <c r="E125" s="2" t="n"/>
      <c r="F125" s="2" t="n"/>
      <c r="G125" s="2" t="n"/>
      <c r="H125" s="2" t="n"/>
    </row>
    <row r="126" ht="14.25" customHeight="1" s="46">
      <c r="A126" s="2" t="n"/>
      <c r="B126" s="2" t="n"/>
      <c r="C126" s="2" t="n"/>
      <c r="D126" s="2" t="n"/>
      <c r="E126" s="2" t="n"/>
      <c r="F126" s="2" t="n"/>
      <c r="G126" s="2" t="n"/>
      <c r="H126" s="2" t="n"/>
    </row>
    <row r="127" ht="14.25" customHeight="1" s="46">
      <c r="A127" s="2" t="n"/>
      <c r="B127" s="2" t="n"/>
      <c r="C127" s="2" t="n"/>
      <c r="D127" s="2" t="n"/>
      <c r="E127" s="2" t="n"/>
      <c r="F127" s="2" t="n"/>
      <c r="G127" s="2" t="n"/>
      <c r="H127" s="2" t="n"/>
    </row>
    <row r="128" ht="14.25" customHeight="1" s="46">
      <c r="A128" s="2" t="n"/>
      <c r="B128" s="2" t="n"/>
      <c r="C128" s="2" t="n"/>
      <c r="D128" s="2" t="n"/>
      <c r="E128" s="2" t="n"/>
      <c r="F128" s="2" t="n"/>
      <c r="G128" s="2" t="n"/>
      <c r="H128" s="2" t="n"/>
    </row>
    <row r="129" ht="14.25" customHeight="1" s="46">
      <c r="A129" s="2" t="n"/>
      <c r="B129" s="2" t="n"/>
      <c r="C129" s="2" t="n"/>
      <c r="D129" s="2" t="n"/>
      <c r="E129" s="2" t="n"/>
      <c r="F129" s="2" t="n"/>
      <c r="G129" s="2" t="n"/>
      <c r="H129" s="2" t="n"/>
    </row>
    <row r="130" ht="14.25" customHeight="1" s="46">
      <c r="A130" s="2" t="n"/>
      <c r="B130" s="2" t="n"/>
      <c r="C130" s="2" t="n"/>
      <c r="D130" s="2" t="n"/>
      <c r="E130" s="2" t="n"/>
      <c r="F130" s="2" t="n"/>
      <c r="G130" s="2" t="n"/>
      <c r="H130" s="2" t="n"/>
    </row>
    <row r="131" ht="14.25" customHeight="1" s="46">
      <c r="A131" s="2" t="n"/>
      <c r="B131" s="2" t="n"/>
      <c r="C131" s="2" t="n"/>
      <c r="D131" s="2" t="n"/>
      <c r="E131" s="2" t="n"/>
      <c r="F131" s="2" t="n"/>
      <c r="G131" s="2" t="n"/>
      <c r="H131" s="2" t="n"/>
    </row>
    <row r="132" ht="14.25" customHeight="1" s="46">
      <c r="A132" s="2" t="n"/>
      <c r="B132" s="2" t="n"/>
      <c r="C132" s="2" t="n"/>
      <c r="D132" s="2" t="n"/>
      <c r="E132" s="2" t="n"/>
      <c r="F132" s="2" t="n"/>
      <c r="G132" s="2" t="n"/>
      <c r="H132" s="2" t="n"/>
    </row>
    <row r="133" ht="14.25" customHeight="1" s="46">
      <c r="A133" s="2" t="n"/>
      <c r="B133" s="2" t="n"/>
      <c r="C133" s="2" t="n"/>
      <c r="D133" s="2" t="n"/>
      <c r="E133" s="2" t="n"/>
      <c r="F133" s="2" t="n"/>
      <c r="G133" s="2" t="n"/>
      <c r="H133" s="2" t="n"/>
    </row>
    <row r="134" ht="14.25" customHeight="1" s="46">
      <c r="A134" s="2" t="n"/>
      <c r="B134" s="2" t="n"/>
      <c r="C134" s="2" t="n"/>
      <c r="D134" s="2" t="n"/>
      <c r="E134" s="2" t="n"/>
      <c r="F134" s="2" t="n"/>
      <c r="G134" s="2" t="n"/>
      <c r="H134" s="2" t="n"/>
    </row>
    <row r="135" ht="14.25" customHeight="1" s="46">
      <c r="A135" s="2" t="n"/>
      <c r="B135" s="2" t="n"/>
      <c r="C135" s="2" t="n"/>
      <c r="D135" s="2" t="n"/>
      <c r="E135" s="2" t="n"/>
      <c r="F135" s="2" t="n"/>
      <c r="G135" s="2" t="n"/>
      <c r="H135" s="2" t="n"/>
    </row>
    <row r="136" ht="14.25" customHeight="1" s="46">
      <c r="A136" s="2" t="n"/>
      <c r="B136" s="2" t="n"/>
      <c r="C136" s="2" t="n"/>
      <c r="D136" s="2" t="n"/>
      <c r="E136" s="2" t="n"/>
      <c r="F136" s="2" t="n"/>
      <c r="G136" s="2" t="n"/>
      <c r="H136" s="2" t="n"/>
    </row>
    <row r="137" ht="14.25" customHeight="1" s="46">
      <c r="A137" s="2" t="n"/>
      <c r="B137" s="2" t="n"/>
      <c r="C137" s="2" t="n"/>
      <c r="D137" s="2" t="n"/>
      <c r="E137" s="2" t="n"/>
      <c r="F137" s="2" t="n"/>
      <c r="G137" s="2" t="n"/>
      <c r="H137" s="2" t="n"/>
    </row>
    <row r="138" ht="14.25" customHeight="1" s="46">
      <c r="A138" s="2" t="n"/>
      <c r="B138" s="2" t="n"/>
      <c r="C138" s="2" t="n"/>
      <c r="D138" s="2" t="n"/>
      <c r="E138" s="2" t="n"/>
      <c r="F138" s="2" t="n"/>
      <c r="G138" s="2" t="n"/>
      <c r="H138" s="2" t="n"/>
    </row>
    <row r="139" ht="14.25" customHeight="1" s="46">
      <c r="A139" s="2" t="n"/>
      <c r="B139" s="2" t="n"/>
      <c r="C139" s="2" t="n"/>
      <c r="D139" s="2" t="n"/>
      <c r="E139" s="2" t="n"/>
      <c r="F139" s="2" t="n"/>
      <c r="G139" s="2" t="n"/>
      <c r="H139" s="2" t="n"/>
    </row>
    <row r="140" ht="14.25" customHeight="1" s="46">
      <c r="A140" s="2" t="n"/>
      <c r="B140" s="2" t="n"/>
      <c r="C140" s="2" t="n"/>
      <c r="D140" s="2" t="n"/>
      <c r="E140" s="2" t="n"/>
      <c r="F140" s="2" t="n"/>
      <c r="G140" s="2" t="n"/>
      <c r="H140" s="2" t="n"/>
    </row>
    <row r="141" ht="14.25" customHeight="1" s="46">
      <c r="A141" s="2" t="n"/>
      <c r="B141" s="2" t="n"/>
      <c r="C141" s="2" t="n"/>
      <c r="D141" s="2" t="n"/>
      <c r="E141" s="2" t="n"/>
      <c r="F141" s="2" t="n"/>
      <c r="G141" s="2" t="n"/>
      <c r="H141" s="2" t="n"/>
    </row>
    <row r="142" ht="14.25" customHeight="1" s="46">
      <c r="A142" s="2" t="n"/>
      <c r="B142" s="2" t="n"/>
      <c r="C142" s="2" t="n"/>
      <c r="D142" s="2" t="n"/>
      <c r="E142" s="2" t="n"/>
      <c r="F142" s="2" t="n"/>
      <c r="G142" s="2" t="n"/>
      <c r="H142" s="2" t="n"/>
    </row>
    <row r="143" ht="14.25" customHeight="1" s="46">
      <c r="A143" s="2" t="n"/>
      <c r="B143" s="2" t="n"/>
      <c r="C143" s="2" t="n"/>
      <c r="D143" s="2" t="n"/>
      <c r="E143" s="2" t="n"/>
      <c r="F143" s="2" t="n"/>
      <c r="G143" s="2" t="n"/>
      <c r="H143" s="2" t="n"/>
    </row>
    <row r="144" ht="14.25" customHeight="1" s="46">
      <c r="A144" s="2" t="n"/>
      <c r="B144" s="2" t="n"/>
      <c r="C144" s="2" t="n"/>
      <c r="D144" s="2" t="n"/>
      <c r="E144" s="2" t="n"/>
      <c r="F144" s="2" t="n"/>
      <c r="G144" s="2" t="n"/>
      <c r="H144" s="2" t="n"/>
    </row>
    <row r="145" ht="14.25" customHeight="1" s="46">
      <c r="A145" s="2" t="n"/>
      <c r="B145" s="2" t="n"/>
      <c r="C145" s="2" t="n"/>
      <c r="D145" s="2" t="n"/>
      <c r="E145" s="2" t="n"/>
      <c r="F145" s="2" t="n"/>
      <c r="G145" s="2" t="n"/>
      <c r="H145" s="2" t="n"/>
    </row>
    <row r="146" ht="14.25" customHeight="1" s="46">
      <c r="A146" s="2" t="n"/>
      <c r="B146" s="2" t="n"/>
      <c r="C146" s="2" t="n"/>
      <c r="D146" s="2" t="n"/>
      <c r="E146" s="2" t="n"/>
      <c r="F146" s="2" t="n"/>
      <c r="G146" s="2" t="n"/>
      <c r="H146" s="2" t="n"/>
    </row>
    <row r="147" ht="14.25" customHeight="1" s="46">
      <c r="A147" s="2" t="n"/>
      <c r="B147" s="2" t="n"/>
      <c r="C147" s="2" t="n"/>
      <c r="D147" s="2" t="n"/>
      <c r="E147" s="2" t="n"/>
      <c r="F147" s="2" t="n"/>
      <c r="G147" s="2" t="n"/>
      <c r="H147" s="2" t="n"/>
    </row>
    <row r="148" ht="14.25" customHeight="1" s="46">
      <c r="A148" s="2" t="n"/>
      <c r="B148" s="2" t="n"/>
      <c r="C148" s="2" t="n"/>
      <c r="D148" s="2" t="n"/>
      <c r="E148" s="2" t="n"/>
      <c r="F148" s="2" t="n"/>
      <c r="G148" s="2" t="n"/>
      <c r="H148" s="2" t="n"/>
    </row>
    <row r="149" ht="14.25" customHeight="1" s="46">
      <c r="A149" s="2" t="n"/>
      <c r="B149" s="2" t="n"/>
      <c r="C149" s="2" t="n"/>
      <c r="D149" s="2" t="n"/>
      <c r="E149" s="2" t="n"/>
      <c r="F149" s="2" t="n"/>
      <c r="G149" s="2" t="n"/>
      <c r="H149" s="2" t="n"/>
    </row>
    <row r="150" ht="14.25" customHeight="1" s="46">
      <c r="A150" s="2" t="n"/>
      <c r="B150" s="2" t="n"/>
      <c r="C150" s="2" t="n"/>
      <c r="D150" s="2" t="n"/>
      <c r="E150" s="2" t="n"/>
      <c r="F150" s="2" t="n"/>
      <c r="G150" s="2" t="n"/>
      <c r="H150" s="2" t="n"/>
    </row>
    <row r="151" ht="14.25" customHeight="1" s="46">
      <c r="A151" s="2" t="n"/>
      <c r="B151" s="2" t="n"/>
      <c r="C151" s="2" t="n"/>
      <c r="D151" s="2" t="n"/>
      <c r="E151" s="2" t="n"/>
      <c r="F151" s="2" t="n"/>
      <c r="G151" s="2" t="n"/>
      <c r="H151" s="2" t="n"/>
    </row>
    <row r="152" ht="14.25" customHeight="1" s="46">
      <c r="A152" s="2" t="n"/>
      <c r="B152" s="2" t="n"/>
      <c r="C152" s="2" t="n"/>
      <c r="D152" s="2" t="n"/>
      <c r="E152" s="2" t="n"/>
      <c r="F152" s="2" t="n"/>
      <c r="G152" s="2" t="n"/>
      <c r="H152" s="2" t="n"/>
    </row>
    <row r="153" ht="14.25" customHeight="1" s="46">
      <c r="A153" s="2" t="n"/>
      <c r="B153" s="2" t="n"/>
      <c r="C153" s="2" t="n"/>
      <c r="D153" s="2" t="n"/>
      <c r="E153" s="2" t="n"/>
      <c r="F153" s="2" t="n"/>
      <c r="G153" s="2" t="n"/>
      <c r="H153" s="2" t="n"/>
    </row>
    <row r="154" ht="14.25" customHeight="1" s="46">
      <c r="A154" s="2" t="n"/>
      <c r="B154" s="2" t="n"/>
      <c r="C154" s="2" t="n"/>
      <c r="D154" s="2" t="n"/>
      <c r="E154" s="2" t="n"/>
      <c r="F154" s="2" t="n"/>
      <c r="G154" s="2" t="n"/>
      <c r="H154" s="2" t="n"/>
    </row>
    <row r="155" ht="14.25" customHeight="1" s="46">
      <c r="A155" s="2" t="n"/>
      <c r="B155" s="2" t="n"/>
      <c r="C155" s="2" t="n"/>
      <c r="D155" s="2" t="n"/>
      <c r="E155" s="2" t="n"/>
      <c r="F155" s="2" t="n"/>
      <c r="G155" s="2" t="n"/>
      <c r="H155" s="2" t="n"/>
    </row>
    <row r="156" ht="14.25" customHeight="1" s="46">
      <c r="A156" s="2" t="n"/>
      <c r="B156" s="2" t="n"/>
      <c r="C156" s="2" t="n"/>
      <c r="D156" s="2" t="n"/>
      <c r="E156" s="2" t="n"/>
      <c r="F156" s="2" t="n"/>
      <c r="G156" s="2" t="n"/>
      <c r="H156" s="2" t="n"/>
    </row>
    <row r="157" ht="14.25" customHeight="1" s="46">
      <c r="A157" s="2" t="n"/>
      <c r="B157" s="2" t="n"/>
      <c r="C157" s="2" t="n"/>
      <c r="D157" s="2" t="n"/>
      <c r="E157" s="2" t="n"/>
      <c r="F157" s="2" t="n"/>
      <c r="G157" s="2" t="n"/>
      <c r="H157" s="2" t="n"/>
    </row>
    <row r="158" ht="14.25" customHeight="1" s="46">
      <c r="A158" s="2" t="n"/>
      <c r="B158" s="2" t="n"/>
      <c r="C158" s="2" t="n"/>
      <c r="D158" s="2" t="n"/>
      <c r="E158" s="2" t="n"/>
      <c r="F158" s="2" t="n"/>
      <c r="G158" s="2" t="n"/>
      <c r="H158" s="2" t="n"/>
    </row>
    <row r="159" ht="14.25" customHeight="1" s="46">
      <c r="A159" s="2" t="n"/>
      <c r="B159" s="2" t="n"/>
      <c r="C159" s="2" t="n"/>
      <c r="D159" s="2" t="n"/>
      <c r="E159" s="2" t="n"/>
      <c r="F159" s="2" t="n"/>
      <c r="G159" s="2" t="n"/>
      <c r="H159" s="2" t="n"/>
    </row>
    <row r="160" ht="14.25" customHeight="1" s="46">
      <c r="A160" s="2" t="n"/>
      <c r="B160" s="2" t="n"/>
      <c r="C160" s="2" t="n"/>
      <c r="D160" s="2" t="n"/>
      <c r="E160" s="2" t="n"/>
      <c r="F160" s="2" t="n"/>
      <c r="G160" s="2" t="n"/>
      <c r="H160" s="2" t="n"/>
    </row>
    <row r="161" ht="14.25" customHeight="1" s="46">
      <c r="A161" s="2" t="n"/>
      <c r="B161" s="2" t="n"/>
      <c r="C161" s="2" t="n"/>
      <c r="D161" s="2" t="n"/>
      <c r="E161" s="2" t="n"/>
      <c r="F161" s="2" t="n"/>
      <c r="G161" s="2" t="n"/>
      <c r="H161" s="2" t="n"/>
    </row>
    <row r="162" ht="14.25" customHeight="1" s="46">
      <c r="A162" s="2" t="n"/>
      <c r="B162" s="2" t="n"/>
      <c r="C162" s="2" t="n"/>
      <c r="D162" s="2" t="n"/>
      <c r="E162" s="2" t="n"/>
      <c r="F162" s="2" t="n"/>
      <c r="G162" s="2" t="n"/>
      <c r="H162" s="2" t="n"/>
    </row>
    <row r="163" ht="14.25" customHeight="1" s="46">
      <c r="A163" s="2" t="n"/>
      <c r="B163" s="2" t="n"/>
      <c r="C163" s="2" t="n"/>
      <c r="D163" s="2" t="n"/>
      <c r="E163" s="2" t="n"/>
      <c r="F163" s="2" t="n"/>
      <c r="G163" s="2" t="n"/>
      <c r="H163" s="2" t="n"/>
    </row>
    <row r="164" ht="14.25" customHeight="1" s="46">
      <c r="A164" s="2" t="n"/>
      <c r="B164" s="2" t="n"/>
      <c r="C164" s="2" t="n"/>
      <c r="D164" s="2" t="n"/>
      <c r="E164" s="2" t="n"/>
      <c r="F164" s="2" t="n"/>
      <c r="G164" s="2" t="n"/>
      <c r="H164" s="2" t="n"/>
    </row>
    <row r="165" ht="14.25" customHeight="1" s="46">
      <c r="A165" s="2" t="n"/>
      <c r="B165" s="2" t="n"/>
      <c r="C165" s="2" t="n"/>
      <c r="D165" s="2" t="n"/>
      <c r="E165" s="2" t="n"/>
      <c r="F165" s="2" t="n"/>
      <c r="G165" s="2" t="n"/>
      <c r="H165" s="2" t="n"/>
    </row>
    <row r="166" ht="14.25" customHeight="1" s="46">
      <c r="A166" s="2" t="n"/>
      <c r="B166" s="2" t="n"/>
      <c r="C166" s="2" t="n"/>
      <c r="D166" s="2" t="n"/>
      <c r="E166" s="2" t="n"/>
      <c r="F166" s="2" t="n"/>
      <c r="G166" s="2" t="n"/>
      <c r="H166" s="2" t="n"/>
    </row>
    <row r="167" ht="14.25" customHeight="1" s="46">
      <c r="A167" s="2" t="n"/>
      <c r="B167" s="2" t="n"/>
      <c r="C167" s="2" t="n"/>
      <c r="D167" s="2" t="n"/>
      <c r="E167" s="2" t="n"/>
      <c r="F167" s="2" t="n"/>
      <c r="G167" s="2" t="n"/>
      <c r="H167" s="2" t="n"/>
    </row>
    <row r="168" ht="14.25" customHeight="1" s="46">
      <c r="A168" s="2" t="n"/>
      <c r="B168" s="2" t="n"/>
      <c r="C168" s="2" t="n"/>
      <c r="D168" s="2" t="n"/>
      <c r="E168" s="2" t="n"/>
      <c r="F168" s="2" t="n"/>
      <c r="G168" s="2" t="n"/>
      <c r="H168" s="2" t="n"/>
    </row>
    <row r="169" ht="14.25" customHeight="1" s="46">
      <c r="A169" s="2" t="n"/>
      <c r="B169" s="2" t="n"/>
      <c r="C169" s="2" t="n"/>
      <c r="D169" s="2" t="n"/>
      <c r="E169" s="2" t="n"/>
      <c r="F169" s="2" t="n"/>
      <c r="G169" s="2" t="n"/>
      <c r="H169" s="2" t="n"/>
    </row>
    <row r="170" ht="14.25" customHeight="1" s="46">
      <c r="A170" s="2" t="n"/>
      <c r="B170" s="2" t="n"/>
      <c r="C170" s="2" t="n"/>
      <c r="D170" s="2" t="n"/>
      <c r="E170" s="2" t="n"/>
      <c r="F170" s="2" t="n"/>
      <c r="G170" s="2" t="n"/>
      <c r="H170" s="2" t="n"/>
    </row>
    <row r="171" ht="14.25" customHeight="1" s="46">
      <c r="A171" s="2" t="n"/>
      <c r="B171" s="2" t="n"/>
      <c r="C171" s="2" t="n"/>
      <c r="D171" s="2" t="n"/>
      <c r="E171" s="2" t="n"/>
      <c r="F171" s="2" t="n"/>
      <c r="G171" s="2" t="n"/>
      <c r="H171" s="2" t="n"/>
    </row>
    <row r="172" ht="14.25" customHeight="1" s="46">
      <c r="A172" s="2" t="n"/>
      <c r="B172" s="2" t="n"/>
      <c r="C172" s="2" t="n"/>
      <c r="D172" s="2" t="n"/>
      <c r="E172" s="2" t="n"/>
      <c r="F172" s="2" t="n"/>
      <c r="G172" s="2" t="n"/>
      <c r="H172" s="2" t="n"/>
    </row>
    <row r="173" ht="14.25" customHeight="1" s="46">
      <c r="A173" s="2" t="n"/>
      <c r="B173" s="2" t="n"/>
      <c r="C173" s="2" t="n"/>
      <c r="D173" s="2" t="n"/>
      <c r="E173" s="2" t="n"/>
      <c r="F173" s="2" t="n"/>
      <c r="G173" s="2" t="n"/>
      <c r="H173" s="2" t="n"/>
    </row>
    <row r="174" ht="14.25" customHeight="1" s="46">
      <c r="A174" s="2" t="n"/>
      <c r="B174" s="2" t="n"/>
      <c r="C174" s="2" t="n"/>
      <c r="D174" s="2" t="n"/>
      <c r="E174" s="2" t="n"/>
      <c r="F174" s="2" t="n"/>
      <c r="G174" s="2" t="n"/>
      <c r="H174" s="2" t="n"/>
    </row>
    <row r="175" ht="14.25" customHeight="1" s="46">
      <c r="A175" s="2" t="n"/>
      <c r="B175" s="2" t="n"/>
      <c r="C175" s="2" t="n"/>
      <c r="D175" s="2" t="n"/>
      <c r="E175" s="2" t="n"/>
      <c r="F175" s="2" t="n"/>
      <c r="G175" s="2" t="n"/>
      <c r="H175" s="2" t="n"/>
    </row>
    <row r="176" ht="14.25" customHeight="1" s="46">
      <c r="A176" s="2" t="n"/>
      <c r="B176" s="2" t="n"/>
      <c r="C176" s="2" t="n"/>
      <c r="D176" s="2" t="n"/>
      <c r="E176" s="2" t="n"/>
      <c r="F176" s="2" t="n"/>
      <c r="G176" s="2" t="n"/>
      <c r="H176" s="2" t="n"/>
    </row>
    <row r="177" ht="14.25" customHeight="1" s="46">
      <c r="A177" s="2" t="n"/>
      <c r="B177" s="2" t="n"/>
      <c r="C177" s="2" t="n"/>
      <c r="D177" s="2" t="n"/>
      <c r="E177" s="2" t="n"/>
      <c r="F177" s="2" t="n"/>
      <c r="G177" s="2" t="n"/>
      <c r="H177" s="2" t="n"/>
    </row>
    <row r="178" ht="14.25" customHeight="1" s="46">
      <c r="A178" s="2" t="n"/>
      <c r="B178" s="2" t="n"/>
      <c r="C178" s="2" t="n"/>
      <c r="D178" s="2" t="n"/>
      <c r="E178" s="2" t="n"/>
      <c r="F178" s="2" t="n"/>
      <c r="G178" s="2" t="n"/>
      <c r="H178" s="2" t="n"/>
    </row>
    <row r="179" ht="14.25" customHeight="1" s="46">
      <c r="A179" s="2" t="n"/>
      <c r="B179" s="2" t="n"/>
      <c r="C179" s="2" t="n"/>
      <c r="D179" s="2" t="n"/>
      <c r="E179" s="2" t="n"/>
      <c r="F179" s="2" t="n"/>
      <c r="G179" s="2" t="n"/>
      <c r="H179" s="2" t="n"/>
    </row>
    <row r="180" ht="14.25" customHeight="1" s="46">
      <c r="A180" s="2" t="n"/>
      <c r="B180" s="2" t="n"/>
      <c r="C180" s="2" t="n"/>
      <c r="D180" s="2" t="n"/>
      <c r="E180" s="2" t="n"/>
      <c r="F180" s="2" t="n"/>
      <c r="G180" s="2" t="n"/>
      <c r="H180" s="2" t="n"/>
    </row>
    <row r="181" ht="14.25" customHeight="1" s="46">
      <c r="A181" s="2" t="n"/>
      <c r="B181" s="2" t="n"/>
      <c r="C181" s="2" t="n"/>
      <c r="D181" s="2" t="n"/>
      <c r="E181" s="2" t="n"/>
      <c r="F181" s="2" t="n"/>
      <c r="G181" s="2" t="n"/>
      <c r="H181" s="2" t="n"/>
    </row>
    <row r="182" ht="14.25" customHeight="1" s="46">
      <c r="A182" s="2" t="n"/>
      <c r="B182" s="2" t="n"/>
      <c r="C182" s="2" t="n"/>
      <c r="D182" s="2" t="n"/>
      <c r="E182" s="2" t="n"/>
      <c r="F182" s="2" t="n"/>
      <c r="G182" s="2" t="n"/>
      <c r="H182" s="2" t="n"/>
    </row>
    <row r="183" ht="14.25" customHeight="1" s="46">
      <c r="A183" s="2" t="n"/>
      <c r="B183" s="2" t="n"/>
      <c r="C183" s="2" t="n"/>
      <c r="D183" s="2" t="n"/>
      <c r="E183" s="2" t="n"/>
      <c r="F183" s="2" t="n"/>
      <c r="G183" s="2" t="n"/>
      <c r="H183" s="2" t="n"/>
    </row>
    <row r="184" ht="14.25" customHeight="1" s="46">
      <c r="A184" s="2" t="n"/>
      <c r="B184" s="2" t="n"/>
      <c r="C184" s="2" t="n"/>
      <c r="D184" s="2" t="n"/>
      <c r="E184" s="2" t="n"/>
      <c r="F184" s="2" t="n"/>
      <c r="G184" s="2" t="n"/>
      <c r="H184" s="2" t="n"/>
    </row>
    <row r="185" ht="14.25" customHeight="1" s="46">
      <c r="A185" s="2" t="n"/>
      <c r="B185" s="2" t="n"/>
      <c r="C185" s="2" t="n"/>
      <c r="D185" s="2" t="n"/>
      <c r="E185" s="2" t="n"/>
      <c r="F185" s="2" t="n"/>
      <c r="G185" s="2" t="n"/>
      <c r="H185" s="2" t="n"/>
    </row>
    <row r="186" ht="14.25" customHeight="1" s="46">
      <c r="A186" s="2" t="n"/>
      <c r="B186" s="2" t="n"/>
      <c r="C186" s="2" t="n"/>
      <c r="D186" s="2" t="n"/>
      <c r="E186" s="2" t="n"/>
      <c r="F186" s="2" t="n"/>
      <c r="G186" s="2" t="n"/>
      <c r="H186" s="2" t="n"/>
    </row>
    <row r="187" ht="14.25" customHeight="1" s="46">
      <c r="A187" s="2" t="n"/>
      <c r="B187" s="2" t="n"/>
      <c r="C187" s="2" t="n"/>
      <c r="D187" s="2" t="n"/>
      <c r="E187" s="2" t="n"/>
      <c r="F187" s="2" t="n"/>
      <c r="G187" s="2" t="n"/>
      <c r="H187" s="2" t="n"/>
    </row>
    <row r="188" ht="14.25" customHeight="1" s="46">
      <c r="A188" s="2" t="n"/>
      <c r="B188" s="2" t="n"/>
      <c r="C188" s="2" t="n"/>
      <c r="D188" s="2" t="n"/>
      <c r="E188" s="2" t="n"/>
      <c r="F188" s="2" t="n"/>
      <c r="G188" s="2" t="n"/>
      <c r="H188" s="2" t="n"/>
    </row>
    <row r="189" ht="14.25" customHeight="1" s="46">
      <c r="A189" s="2" t="n"/>
      <c r="B189" s="2" t="n"/>
      <c r="C189" s="2" t="n"/>
      <c r="D189" s="2" t="n"/>
      <c r="E189" s="2" t="n"/>
      <c r="F189" s="2" t="n"/>
      <c r="G189" s="2" t="n"/>
      <c r="H189" s="2" t="n"/>
    </row>
    <row r="190" ht="14.25" customHeight="1" s="46">
      <c r="A190" s="2" t="n"/>
      <c r="B190" s="2" t="n"/>
      <c r="C190" s="2" t="n"/>
      <c r="D190" s="2" t="n"/>
      <c r="E190" s="2" t="n"/>
      <c r="F190" s="2" t="n"/>
      <c r="G190" s="2" t="n"/>
      <c r="H190" s="2" t="n"/>
    </row>
    <row r="191" ht="14.25" customHeight="1" s="46">
      <c r="A191" s="2" t="n"/>
      <c r="B191" s="2" t="n"/>
      <c r="C191" s="2" t="n"/>
      <c r="D191" s="2" t="n"/>
      <c r="E191" s="2" t="n"/>
      <c r="F191" s="2" t="n"/>
      <c r="G191" s="2" t="n"/>
      <c r="H191" s="2" t="n"/>
    </row>
    <row r="192" ht="14.25" customHeight="1" s="46">
      <c r="A192" s="2" t="n"/>
      <c r="B192" s="2" t="n"/>
      <c r="C192" s="2" t="n"/>
      <c r="D192" s="2" t="n"/>
      <c r="E192" s="2" t="n"/>
      <c r="F192" s="2" t="n"/>
      <c r="G192" s="2" t="n"/>
      <c r="H192" s="2" t="n"/>
    </row>
    <row r="193" ht="14.25" customHeight="1" s="46">
      <c r="A193" s="2" t="n"/>
      <c r="B193" s="2" t="n"/>
      <c r="C193" s="2" t="n"/>
      <c r="D193" s="2" t="n"/>
      <c r="E193" s="2" t="n"/>
      <c r="F193" s="2" t="n"/>
      <c r="G193" s="2" t="n"/>
      <c r="H193" s="2" t="n"/>
    </row>
    <row r="194" ht="14.25" customHeight="1" s="46">
      <c r="A194" s="2" t="n"/>
      <c r="B194" s="2" t="n"/>
      <c r="C194" s="2" t="n"/>
      <c r="D194" s="2" t="n"/>
      <c r="E194" s="2" t="n"/>
      <c r="F194" s="2" t="n"/>
      <c r="G194" s="2" t="n"/>
      <c r="H194" s="2" t="n"/>
    </row>
    <row r="195" ht="14.25" customHeight="1" s="46">
      <c r="A195" s="2" t="n"/>
      <c r="B195" s="2" t="n"/>
      <c r="C195" s="2" t="n"/>
      <c r="D195" s="2" t="n"/>
      <c r="E195" s="2" t="n"/>
      <c r="F195" s="2" t="n"/>
      <c r="G195" s="2" t="n"/>
      <c r="H195" s="2" t="n"/>
    </row>
    <row r="196" ht="14.25" customHeight="1" s="46">
      <c r="A196" s="2" t="n"/>
      <c r="B196" s="2" t="n"/>
      <c r="C196" s="2" t="n"/>
      <c r="D196" s="2" t="n"/>
      <c r="E196" s="2" t="n"/>
      <c r="F196" s="2" t="n"/>
      <c r="G196" s="2" t="n"/>
      <c r="H196" s="2" t="n"/>
    </row>
    <row r="197" ht="14.25" customHeight="1" s="46">
      <c r="A197" s="2" t="n"/>
      <c r="B197" s="2" t="n"/>
      <c r="C197" s="2" t="n"/>
      <c r="D197" s="2" t="n"/>
      <c r="E197" s="2" t="n"/>
      <c r="F197" s="2" t="n"/>
      <c r="G197" s="2" t="n"/>
      <c r="H197" s="2" t="n"/>
    </row>
    <row r="198" ht="14.25" customHeight="1" s="46">
      <c r="A198" s="2" t="n"/>
      <c r="B198" s="2" t="n"/>
      <c r="C198" s="2" t="n"/>
      <c r="D198" s="2" t="n"/>
      <c r="E198" s="2" t="n"/>
      <c r="F198" s="2" t="n"/>
      <c r="G198" s="2" t="n"/>
      <c r="H198" s="2" t="n"/>
    </row>
    <row r="199" ht="14.25" customHeight="1" s="46">
      <c r="A199" s="2" t="n"/>
      <c r="B199" s="2" t="n"/>
      <c r="C199" s="2" t="n"/>
      <c r="D199" s="2" t="n"/>
      <c r="E199" s="2" t="n"/>
      <c r="F199" s="2" t="n"/>
      <c r="G199" s="2" t="n"/>
      <c r="H199" s="2" t="n"/>
    </row>
    <row r="200" ht="14.25" customHeight="1" s="46">
      <c r="A200" s="2" t="n"/>
      <c r="B200" s="2" t="n"/>
      <c r="C200" s="2" t="n"/>
      <c r="D200" s="2" t="n"/>
      <c r="E200" s="2" t="n"/>
      <c r="F200" s="2" t="n"/>
      <c r="G200" s="2" t="n"/>
      <c r="H200" s="2" t="n"/>
    </row>
    <row r="201" ht="14.25" customHeight="1" s="46">
      <c r="A201" s="2" t="n"/>
      <c r="B201" s="2" t="n"/>
      <c r="C201" s="2" t="n"/>
      <c r="D201" s="2" t="n"/>
      <c r="E201" s="2" t="n"/>
      <c r="F201" s="2" t="n"/>
      <c r="G201" s="2" t="n"/>
      <c r="H201" s="2" t="n"/>
    </row>
    <row r="202" ht="14.25" customHeight="1" s="46">
      <c r="A202" s="2" t="n"/>
      <c r="B202" s="2" t="n"/>
      <c r="C202" s="2" t="n"/>
      <c r="D202" s="2" t="n"/>
      <c r="E202" s="2" t="n"/>
      <c r="F202" s="2" t="n"/>
      <c r="G202" s="2" t="n"/>
      <c r="H202" s="2" t="n"/>
    </row>
    <row r="203" ht="14.25" customHeight="1" s="46">
      <c r="A203" s="2" t="n"/>
      <c r="B203" s="2" t="n"/>
      <c r="C203" s="2" t="n"/>
      <c r="D203" s="2" t="n"/>
      <c r="E203" s="2" t="n"/>
      <c r="F203" s="2" t="n"/>
      <c r="G203" s="2" t="n"/>
      <c r="H203" s="2" t="n"/>
    </row>
    <row r="204" ht="14.25" customHeight="1" s="46">
      <c r="A204" s="2" t="n"/>
      <c r="B204" s="2" t="n"/>
      <c r="C204" s="2" t="n"/>
      <c r="D204" s="2" t="n"/>
      <c r="E204" s="2" t="n"/>
      <c r="F204" s="2" t="n"/>
      <c r="G204" s="2" t="n"/>
      <c r="H204" s="2" t="n"/>
    </row>
    <row r="205" ht="14.25" customHeight="1" s="46">
      <c r="A205" s="2" t="n"/>
      <c r="B205" s="2" t="n"/>
      <c r="C205" s="2" t="n"/>
      <c r="D205" s="2" t="n"/>
      <c r="E205" s="2" t="n"/>
      <c r="F205" s="2" t="n"/>
      <c r="G205" s="2" t="n"/>
      <c r="H205" s="2" t="n"/>
    </row>
    <row r="206" ht="14.25" customHeight="1" s="46">
      <c r="A206" s="2" t="n"/>
      <c r="B206" s="2" t="n"/>
      <c r="C206" s="2" t="n"/>
      <c r="D206" s="2" t="n"/>
      <c r="E206" s="2" t="n"/>
      <c r="F206" s="2" t="n"/>
      <c r="G206" s="2" t="n"/>
      <c r="H206" s="2" t="n"/>
    </row>
    <row r="207" ht="14.25" customHeight="1" s="46">
      <c r="A207" s="2" t="n"/>
      <c r="B207" s="2" t="n"/>
      <c r="C207" s="2" t="n"/>
      <c r="D207" s="2" t="n"/>
      <c r="E207" s="2" t="n"/>
      <c r="F207" s="2" t="n"/>
      <c r="G207" s="2" t="n"/>
      <c r="H207" s="2" t="n"/>
    </row>
    <row r="208" ht="14.25" customHeight="1" s="46">
      <c r="A208" s="2" t="n"/>
      <c r="B208" s="2" t="n"/>
      <c r="C208" s="2" t="n"/>
      <c r="D208" s="2" t="n"/>
      <c r="E208" s="2" t="n"/>
      <c r="F208" s="2" t="n"/>
      <c r="G208" s="2" t="n"/>
      <c r="H208" s="2" t="n"/>
    </row>
    <row r="209" ht="14.25" customHeight="1" s="46">
      <c r="A209" s="2" t="n"/>
      <c r="B209" s="2" t="n"/>
      <c r="C209" s="2" t="n"/>
      <c r="D209" s="2" t="n"/>
      <c r="E209" s="2" t="n"/>
      <c r="F209" s="2" t="n"/>
      <c r="G209" s="2" t="n"/>
      <c r="H209" s="2" t="n"/>
    </row>
    <row r="210" ht="14.25" customHeight="1" s="46">
      <c r="A210" s="2" t="n"/>
      <c r="B210" s="2" t="n"/>
      <c r="C210" s="2" t="n"/>
      <c r="D210" s="2" t="n"/>
      <c r="E210" s="2" t="n"/>
      <c r="F210" s="2" t="n"/>
      <c r="G210" s="2" t="n"/>
      <c r="H210" s="2" t="n"/>
    </row>
    <row r="211" ht="14.25" customHeight="1" s="46">
      <c r="A211" s="2" t="n"/>
      <c r="B211" s="2" t="n"/>
      <c r="C211" s="2" t="n"/>
      <c r="D211" s="2" t="n"/>
      <c r="E211" s="2" t="n"/>
      <c r="F211" s="2" t="n"/>
      <c r="G211" s="2" t="n"/>
      <c r="H211" s="2" t="n"/>
    </row>
    <row r="212" ht="14.25" customHeight="1" s="46">
      <c r="A212" s="2" t="n"/>
      <c r="B212" s="2" t="n"/>
      <c r="C212" s="2" t="n"/>
      <c r="D212" s="2" t="n"/>
      <c r="E212" s="2" t="n"/>
      <c r="F212" s="2" t="n"/>
      <c r="G212" s="2" t="n"/>
      <c r="H212" s="2" t="n"/>
    </row>
    <row r="213" ht="14.25" customHeight="1" s="46">
      <c r="A213" s="2" t="n"/>
      <c r="B213" s="2" t="n"/>
      <c r="C213" s="2" t="n"/>
      <c r="D213" s="2" t="n"/>
      <c r="E213" s="2" t="n"/>
      <c r="F213" s="2" t="n"/>
      <c r="G213" s="2" t="n"/>
      <c r="H213" s="2" t="n"/>
    </row>
    <row r="214" ht="14.25" customHeight="1" s="46">
      <c r="A214" s="2" t="n"/>
      <c r="B214" s="2" t="n"/>
      <c r="C214" s="2" t="n"/>
      <c r="D214" s="2" t="n"/>
      <c r="E214" s="2" t="n"/>
      <c r="F214" s="2" t="n"/>
      <c r="G214" s="2" t="n"/>
      <c r="H214" s="2" t="n"/>
    </row>
    <row r="215" ht="14.25" customHeight="1" s="46">
      <c r="A215" s="2" t="n"/>
      <c r="B215" s="2" t="n"/>
      <c r="C215" s="2" t="n"/>
      <c r="D215" s="2" t="n"/>
      <c r="E215" s="2" t="n"/>
      <c r="F215" s="2" t="n"/>
      <c r="G215" s="2" t="n"/>
      <c r="H215" s="2" t="n"/>
    </row>
    <row r="216" ht="14.25" customHeight="1" s="46">
      <c r="A216" s="2" t="n"/>
      <c r="B216" s="2" t="n"/>
      <c r="C216" s="2" t="n"/>
      <c r="D216" s="2" t="n"/>
      <c r="E216" s="2" t="n"/>
      <c r="F216" s="2" t="n"/>
      <c r="G216" s="2" t="n"/>
      <c r="H216" s="2" t="n"/>
    </row>
    <row r="217" ht="14.25" customHeight="1" s="46">
      <c r="A217" s="2" t="n"/>
      <c r="B217" s="2" t="n"/>
      <c r="C217" s="2" t="n"/>
      <c r="D217" s="2" t="n"/>
      <c r="E217" s="2" t="n"/>
      <c r="F217" s="2" t="n"/>
      <c r="G217" s="2" t="n"/>
      <c r="H217" s="2" t="n"/>
    </row>
    <row r="218" ht="14.25" customHeight="1" s="46">
      <c r="A218" s="2" t="n"/>
      <c r="B218" s="2" t="n"/>
      <c r="C218" s="2" t="n"/>
      <c r="D218" s="2" t="n"/>
      <c r="E218" s="2" t="n"/>
      <c r="F218" s="2" t="n"/>
      <c r="G218" s="2" t="n"/>
      <c r="H218" s="2" t="n"/>
    </row>
    <row r="219" ht="14.25" customHeight="1" s="46">
      <c r="A219" s="2" t="n"/>
      <c r="B219" s="2" t="n"/>
      <c r="C219" s="2" t="n"/>
      <c r="D219" s="2" t="n"/>
      <c r="E219" s="2" t="n"/>
      <c r="F219" s="2" t="n"/>
      <c r="G219" s="2" t="n"/>
      <c r="H219" s="2" t="n"/>
    </row>
    <row r="220" ht="14.25" customHeight="1" s="46">
      <c r="A220" s="2" t="n"/>
      <c r="B220" s="2" t="n"/>
      <c r="C220" s="2" t="n"/>
      <c r="D220" s="2" t="n"/>
      <c r="E220" s="2" t="n"/>
      <c r="F220" s="2" t="n"/>
      <c r="G220" s="2" t="n"/>
      <c r="H220" s="2" t="n"/>
    </row>
    <row r="221" ht="14.25" customHeight="1" s="46">
      <c r="A221" s="2" t="n"/>
      <c r="B221" s="2" t="n"/>
      <c r="C221" s="2" t="n"/>
      <c r="D221" s="2" t="n"/>
      <c r="E221" s="2" t="n"/>
      <c r="F221" s="2" t="n"/>
      <c r="G221" s="2" t="n"/>
      <c r="H221" s="2" t="n"/>
    </row>
    <row r="222" ht="14.25" customHeight="1" s="46">
      <c r="A222" s="2" t="n"/>
      <c r="B222" s="2" t="n"/>
      <c r="C222" s="2" t="n"/>
      <c r="D222" s="2" t="n"/>
      <c r="E222" s="2" t="n"/>
      <c r="F222" s="2" t="n"/>
      <c r="G222" s="2" t="n"/>
      <c r="H222" s="2" t="n"/>
    </row>
    <row r="223" ht="14.25" customHeight="1" s="46">
      <c r="A223" s="2" t="n"/>
      <c r="B223" s="2" t="n"/>
      <c r="C223" s="2" t="n"/>
      <c r="D223" s="2" t="n"/>
      <c r="E223" s="2" t="n"/>
      <c r="F223" s="2" t="n"/>
      <c r="G223" s="2" t="n"/>
      <c r="H223" s="2" t="n"/>
    </row>
    <row r="224" ht="14.25" customHeight="1" s="46">
      <c r="A224" s="2" t="n"/>
      <c r="B224" s="2" t="n"/>
      <c r="C224" s="2" t="n"/>
      <c r="D224" s="2" t="n"/>
      <c r="E224" s="2" t="n"/>
      <c r="F224" s="2" t="n"/>
      <c r="G224" s="2" t="n"/>
      <c r="H224" s="2" t="n"/>
    </row>
    <row r="225" ht="14.25" customHeight="1" s="46">
      <c r="A225" s="2" t="n"/>
      <c r="B225" s="2" t="n"/>
      <c r="C225" s="2" t="n"/>
      <c r="D225" s="2" t="n"/>
      <c r="E225" s="2" t="n"/>
      <c r="F225" s="2" t="n"/>
      <c r="G225" s="2" t="n"/>
      <c r="H225" s="2" t="n"/>
    </row>
    <row r="226" ht="14.25" customHeight="1" s="46">
      <c r="A226" s="2" t="n"/>
      <c r="B226" s="2" t="n"/>
      <c r="C226" s="2" t="n"/>
      <c r="D226" s="2" t="n"/>
      <c r="E226" s="2" t="n"/>
      <c r="F226" s="2" t="n"/>
      <c r="G226" s="2" t="n"/>
      <c r="H226" s="2" t="n"/>
    </row>
    <row r="227" ht="14.25" customHeight="1" s="46">
      <c r="A227" s="2" t="n"/>
      <c r="B227" s="2" t="n"/>
      <c r="C227" s="2" t="n"/>
      <c r="D227" s="2" t="n"/>
      <c r="E227" s="2" t="n"/>
      <c r="F227" s="2" t="n"/>
      <c r="G227" s="2" t="n"/>
      <c r="H227" s="2" t="n"/>
    </row>
    <row r="228" ht="14.25" customHeight="1" s="46">
      <c r="A228" s="2" t="n"/>
      <c r="B228" s="2" t="n"/>
      <c r="C228" s="2" t="n"/>
      <c r="D228" s="2" t="n"/>
      <c r="E228" s="2" t="n"/>
      <c r="F228" s="2" t="n"/>
      <c r="G228" s="2" t="n"/>
      <c r="H228" s="2" t="n"/>
    </row>
    <row r="229" ht="14.25" customHeight="1" s="46">
      <c r="A229" s="2" t="n"/>
      <c r="B229" s="2" t="n"/>
      <c r="C229" s="2" t="n"/>
      <c r="D229" s="2" t="n"/>
      <c r="E229" s="2" t="n"/>
      <c r="F229" s="2" t="n"/>
      <c r="G229" s="2" t="n"/>
      <c r="H229" s="2" t="n"/>
    </row>
    <row r="230" ht="14.25" customHeight="1" s="46">
      <c r="A230" s="2" t="n"/>
      <c r="B230" s="2" t="n"/>
      <c r="C230" s="2" t="n"/>
      <c r="D230" s="2" t="n"/>
      <c r="E230" s="2" t="n"/>
      <c r="F230" s="2" t="n"/>
      <c r="G230" s="2" t="n"/>
      <c r="H230" s="2" t="n"/>
    </row>
    <row r="231" ht="14.25" customHeight="1" s="46">
      <c r="A231" s="2" t="n"/>
      <c r="B231" s="2" t="n"/>
      <c r="C231" s="2" t="n"/>
      <c r="D231" s="2" t="n"/>
      <c r="E231" s="2" t="n"/>
      <c r="F231" s="2" t="n"/>
      <c r="G231" s="2" t="n"/>
      <c r="H231" s="2" t="n"/>
    </row>
    <row r="232" ht="14.25" customHeight="1" s="46">
      <c r="A232" s="2" t="n"/>
      <c r="B232" s="2" t="n"/>
      <c r="C232" s="2" t="n"/>
      <c r="D232" s="2" t="n"/>
      <c r="E232" s="2" t="n"/>
      <c r="F232" s="2" t="n"/>
      <c r="G232" s="2" t="n"/>
      <c r="H232" s="2" t="n"/>
    </row>
    <row r="233" ht="14.25" customHeight="1" s="46">
      <c r="A233" s="2" t="n"/>
      <c r="B233" s="2" t="n"/>
      <c r="C233" s="2" t="n"/>
      <c r="D233" s="2" t="n"/>
      <c r="E233" s="2" t="n"/>
      <c r="F233" s="2" t="n"/>
      <c r="G233" s="2" t="n"/>
      <c r="H233" s="2" t="n"/>
    </row>
    <row r="234" ht="14.25" customHeight="1" s="46">
      <c r="A234" s="2" t="n"/>
      <c r="B234" s="2" t="n"/>
      <c r="C234" s="2" t="n"/>
      <c r="D234" s="2" t="n"/>
      <c r="E234" s="2" t="n"/>
      <c r="F234" s="2" t="n"/>
      <c r="G234" s="2" t="n"/>
      <c r="H234" s="2" t="n"/>
    </row>
    <row r="235" ht="14.25" customHeight="1" s="46">
      <c r="A235" s="2" t="n"/>
      <c r="B235" s="2" t="n"/>
      <c r="C235" s="2" t="n"/>
      <c r="D235" s="2" t="n"/>
      <c r="E235" s="2" t="n"/>
      <c r="F235" s="2" t="n"/>
      <c r="G235" s="2" t="n"/>
      <c r="H235" s="2" t="n"/>
    </row>
    <row r="236" ht="14.25" customHeight="1" s="46">
      <c r="A236" s="2" t="n"/>
      <c r="B236" s="2" t="n"/>
      <c r="C236" s="2" t="n"/>
      <c r="D236" s="2" t="n"/>
      <c r="E236" s="2" t="n"/>
      <c r="F236" s="2" t="n"/>
      <c r="G236" s="2" t="n"/>
      <c r="H236" s="2" t="n"/>
    </row>
    <row r="237" ht="14.25" customHeight="1" s="46">
      <c r="A237" s="2" t="n"/>
      <c r="B237" s="2" t="n"/>
      <c r="C237" s="2" t="n"/>
      <c r="D237" s="2" t="n"/>
      <c r="E237" s="2" t="n"/>
      <c r="F237" s="2" t="n"/>
      <c r="G237" s="2" t="n"/>
      <c r="H237" s="2" t="n"/>
    </row>
    <row r="238" ht="14.25" customHeight="1" s="46">
      <c r="A238" s="2" t="n"/>
      <c r="B238" s="2" t="n"/>
      <c r="C238" s="2" t="n"/>
      <c r="D238" s="2" t="n"/>
      <c r="E238" s="2" t="n"/>
      <c r="F238" s="2" t="n"/>
      <c r="G238" s="2" t="n"/>
      <c r="H238" s="2" t="n"/>
    </row>
    <row r="239" ht="14.25" customHeight="1" s="46">
      <c r="A239" s="2" t="n"/>
      <c r="B239" s="2" t="n"/>
      <c r="C239" s="2" t="n"/>
      <c r="D239" s="2" t="n"/>
      <c r="E239" s="2" t="n"/>
      <c r="F239" s="2" t="n"/>
      <c r="G239" s="2" t="n"/>
      <c r="H239" s="2" t="n"/>
    </row>
    <row r="240" ht="14.25" customHeight="1" s="46">
      <c r="A240" s="2" t="n"/>
      <c r="B240" s="2" t="n"/>
      <c r="C240" s="2" t="n"/>
      <c r="D240" s="2" t="n"/>
      <c r="E240" s="2" t="n"/>
      <c r="F240" s="2" t="n"/>
      <c r="G240" s="2" t="n"/>
      <c r="H240" s="2" t="n"/>
    </row>
    <row r="241" ht="14.25" customHeight="1" s="46">
      <c r="A241" s="2" t="n"/>
      <c r="B241" s="2" t="n"/>
      <c r="C241" s="2" t="n"/>
      <c r="D241" s="2" t="n"/>
      <c r="E241" s="2" t="n"/>
      <c r="F241" s="2" t="n"/>
      <c r="G241" s="2" t="n"/>
      <c r="H241" s="2" t="n"/>
    </row>
    <row r="242" ht="14.25" customHeight="1" s="46">
      <c r="A242" s="2" t="n"/>
      <c r="B242" s="2" t="n"/>
      <c r="C242" s="2" t="n"/>
      <c r="D242" s="2" t="n"/>
      <c r="E242" s="2" t="n"/>
      <c r="F242" s="2" t="n"/>
      <c r="G242" s="2" t="n"/>
      <c r="H242" s="2" t="n"/>
    </row>
    <row r="243" ht="14.25" customHeight="1" s="46">
      <c r="A243" s="2" t="n"/>
      <c r="B243" s="2" t="n"/>
      <c r="C243" s="2" t="n"/>
      <c r="D243" s="2" t="n"/>
      <c r="E243" s="2" t="n"/>
      <c r="F243" s="2" t="n"/>
      <c r="G243" s="2" t="n"/>
      <c r="H243" s="2" t="n"/>
    </row>
    <row r="244" ht="14.25" customHeight="1" s="46">
      <c r="A244" s="2" t="n"/>
      <c r="B244" s="2" t="n"/>
      <c r="C244" s="2" t="n"/>
      <c r="D244" s="2" t="n"/>
      <c r="E244" s="2" t="n"/>
      <c r="F244" s="2" t="n"/>
      <c r="G244" s="2" t="n"/>
      <c r="H244" s="2" t="n"/>
    </row>
    <row r="245" ht="14.25" customHeight="1" s="46">
      <c r="A245" s="2" t="n"/>
      <c r="B245" s="2" t="n"/>
      <c r="C245" s="2" t="n"/>
      <c r="D245" s="2" t="n"/>
      <c r="E245" s="2" t="n"/>
      <c r="F245" s="2" t="n"/>
      <c r="G245" s="2" t="n"/>
      <c r="H245" s="2" t="n"/>
    </row>
    <row r="246" ht="14.25" customHeight="1" s="46">
      <c r="A246" s="2" t="n"/>
      <c r="B246" s="2" t="n"/>
      <c r="C246" s="2" t="n"/>
      <c r="D246" s="2" t="n"/>
      <c r="E246" s="2" t="n"/>
      <c r="F246" s="2" t="n"/>
      <c r="G246" s="2" t="n"/>
      <c r="H246" s="2" t="n"/>
    </row>
    <row r="247" ht="14.25" customHeight="1" s="46">
      <c r="A247" s="2" t="n"/>
      <c r="B247" s="2" t="n"/>
      <c r="C247" s="2" t="n"/>
      <c r="D247" s="2" t="n"/>
      <c r="E247" s="2" t="n"/>
      <c r="F247" s="2" t="n"/>
      <c r="G247" s="2" t="n"/>
      <c r="H247" s="2" t="n"/>
    </row>
    <row r="248" ht="14.25" customHeight="1" s="46">
      <c r="A248" s="2" t="n"/>
      <c r="B248" s="2" t="n"/>
      <c r="C248" s="2" t="n"/>
      <c r="D248" s="2" t="n"/>
      <c r="E248" s="2" t="n"/>
      <c r="F248" s="2" t="n"/>
      <c r="G248" s="2" t="n"/>
      <c r="H248" s="2" t="n"/>
    </row>
    <row r="249" ht="14.25" customHeight="1" s="46">
      <c r="A249" s="2" t="n"/>
      <c r="B249" s="2" t="n"/>
      <c r="C249" s="2" t="n"/>
      <c r="D249" s="2" t="n"/>
      <c r="E249" s="2" t="n"/>
      <c r="F249" s="2" t="n"/>
      <c r="G249" s="2" t="n"/>
      <c r="H249" s="2" t="n"/>
    </row>
    <row r="250" ht="14.25" customHeight="1" s="46">
      <c r="A250" s="2" t="n"/>
      <c r="B250" s="2" t="n"/>
      <c r="C250" s="2" t="n"/>
      <c r="D250" s="2" t="n"/>
      <c r="E250" s="2" t="n"/>
      <c r="F250" s="2" t="n"/>
      <c r="G250" s="2" t="n"/>
      <c r="H250" s="2" t="n"/>
    </row>
    <row r="251" ht="14.25" customHeight="1" s="46">
      <c r="A251" s="2" t="n"/>
      <c r="B251" s="2" t="n"/>
      <c r="C251" s="2" t="n"/>
      <c r="D251" s="2" t="n"/>
      <c r="E251" s="2" t="n"/>
      <c r="F251" s="2" t="n"/>
      <c r="G251" s="2" t="n"/>
      <c r="H251" s="2" t="n"/>
    </row>
    <row r="252" ht="14.25" customHeight="1" s="46">
      <c r="A252" s="2" t="n"/>
      <c r="B252" s="2" t="n"/>
      <c r="C252" s="2" t="n"/>
      <c r="D252" s="2" t="n"/>
      <c r="E252" s="2" t="n"/>
      <c r="F252" s="2" t="n"/>
      <c r="G252" s="2" t="n"/>
      <c r="H252" s="2" t="n"/>
    </row>
    <row r="253" ht="14.25" customHeight="1" s="46">
      <c r="A253" s="2" t="n"/>
      <c r="B253" s="2" t="n"/>
      <c r="C253" s="2" t="n"/>
      <c r="D253" s="2" t="n"/>
      <c r="E253" s="2" t="n"/>
      <c r="F253" s="2" t="n"/>
      <c r="G253" s="2" t="n"/>
      <c r="H253" s="2" t="n"/>
    </row>
    <row r="254" ht="14.25" customHeight="1" s="46">
      <c r="A254" s="2" t="n"/>
      <c r="B254" s="2" t="n"/>
      <c r="C254" s="2" t="n"/>
      <c r="D254" s="2" t="n"/>
      <c r="E254" s="2" t="n"/>
      <c r="F254" s="2" t="n"/>
      <c r="G254" s="2" t="n"/>
      <c r="H254" s="2" t="n"/>
    </row>
    <row r="255" ht="14.25" customHeight="1" s="46">
      <c r="A255" s="2" t="n"/>
      <c r="B255" s="2" t="n"/>
      <c r="C255" s="2" t="n"/>
      <c r="D255" s="2" t="n"/>
      <c r="E255" s="2" t="n"/>
      <c r="F255" s="2" t="n"/>
      <c r="G255" s="2" t="n"/>
      <c r="H255" s="2" t="n"/>
    </row>
    <row r="256" ht="14.25" customHeight="1" s="46">
      <c r="A256" s="2" t="n"/>
      <c r="B256" s="2" t="n"/>
      <c r="C256" s="2" t="n"/>
      <c r="D256" s="2" t="n"/>
      <c r="E256" s="2" t="n"/>
      <c r="F256" s="2" t="n"/>
      <c r="G256" s="2" t="n"/>
      <c r="H256" s="2" t="n"/>
    </row>
    <row r="257" ht="14.25" customHeight="1" s="46">
      <c r="A257" s="2" t="n"/>
      <c r="B257" s="2" t="n"/>
      <c r="C257" s="2" t="n"/>
      <c r="D257" s="2" t="n"/>
      <c r="E257" s="2" t="n"/>
      <c r="F257" s="2" t="n"/>
      <c r="G257" s="2" t="n"/>
      <c r="H257" s="2" t="n"/>
    </row>
    <row r="258" ht="14.25" customHeight="1" s="46">
      <c r="A258" s="2" t="n"/>
      <c r="B258" s="2" t="n"/>
      <c r="C258" s="2" t="n"/>
      <c r="D258" s="2" t="n"/>
      <c r="E258" s="2" t="n"/>
      <c r="F258" s="2" t="n"/>
      <c r="G258" s="2" t="n"/>
      <c r="H258" s="2" t="n"/>
    </row>
    <row r="259" ht="14.25" customHeight="1" s="46">
      <c r="A259" s="2" t="n"/>
      <c r="B259" s="2" t="n"/>
      <c r="C259" s="2" t="n"/>
      <c r="D259" s="2" t="n"/>
      <c r="E259" s="2" t="n"/>
      <c r="F259" s="2" t="n"/>
      <c r="G259" s="2" t="n"/>
      <c r="H259" s="2" t="n"/>
    </row>
    <row r="260" ht="14.25" customHeight="1" s="46">
      <c r="A260" s="2" t="n"/>
      <c r="B260" s="2" t="n"/>
      <c r="C260" s="2" t="n"/>
      <c r="D260" s="2" t="n"/>
      <c r="E260" s="2" t="n"/>
      <c r="F260" s="2" t="n"/>
      <c r="G260" s="2" t="n"/>
      <c r="H260" s="2" t="n"/>
    </row>
    <row r="261" ht="14.25" customHeight="1" s="46">
      <c r="A261" s="2" t="n"/>
      <c r="B261" s="2" t="n"/>
      <c r="C261" s="2" t="n"/>
      <c r="D261" s="2" t="n"/>
      <c r="E261" s="2" t="n"/>
      <c r="F261" s="2" t="n"/>
      <c r="G261" s="2" t="n"/>
      <c r="H261" s="2" t="n"/>
    </row>
    <row r="262" ht="14.25" customHeight="1" s="46">
      <c r="A262" s="2" t="n"/>
      <c r="B262" s="2" t="n"/>
      <c r="C262" s="2" t="n"/>
      <c r="D262" s="2" t="n"/>
      <c r="E262" s="2" t="n"/>
      <c r="F262" s="2" t="n"/>
      <c r="G262" s="2" t="n"/>
      <c r="H262" s="2" t="n"/>
    </row>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conditionalFormatting sqref="G5:G62">
    <cfRule type="expression" priority="1" dxfId="0">
      <formula>LEFT(G5,2)&lt;&gt;"OK"</formula>
    </cfRule>
  </conditionalFormatting>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K220"/>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46" min="1" max="1"/>
    <col width="10" customWidth="1" style="46" min="2" max="2"/>
    <col width="7" customWidth="1" style="46" min="3" max="4"/>
    <col width="26" customWidth="1" style="46" min="5" max="6"/>
    <col width="30" customWidth="1" style="46" min="7" max="7"/>
    <col width="10" customWidth="1" style="46" min="8" max="8"/>
    <col width="11" customWidth="1" style="46" min="9" max="9"/>
    <col width="36" customWidth="1" style="46" min="10" max="10"/>
    <col width="28" customWidth="1" style="46" min="11" max="11"/>
  </cols>
  <sheetData>
    <row r="1" ht="9" customHeight="1" s="46">
      <c r="A1" s="1" t="inlineStr">
        <is>
          <t>Step 2: the housing ladder</t>
        </is>
      </c>
      <c r="B1" s="2" t="n"/>
      <c r="C1" s="2" t="n"/>
      <c r="D1" s="2" t="n"/>
      <c r="E1" s="2" t="n"/>
      <c r="F1" s="2" t="n"/>
      <c r="G1" s="2" t="n"/>
      <c r="H1" s="2" t="n"/>
      <c r="I1" s="2" t="n"/>
      <c r="J1" s="2" t="n"/>
      <c r="K1" s="2" t="n"/>
    </row>
    <row r="2" ht="14.25" customHeight="1" s="46">
      <c r="A2" s="3" t="inlineStr">
        <is>
          <t>What each home level needs and what it gives back. Knowledge per home is linked from 0 Knowledge (green).</t>
        </is>
      </c>
      <c r="B2" s="2" t="n"/>
      <c r="C2" s="2" t="n"/>
      <c r="D2" s="2" t="n"/>
      <c r="E2" s="2" t="n"/>
      <c r="F2" s="2" t="n"/>
      <c r="G2" s="2" t="n"/>
      <c r="H2" s="2" t="n"/>
      <c r="I2" s="2" t="n"/>
      <c r="J2" s="2" t="n"/>
      <c r="K2" s="2" t="n"/>
    </row>
    <row r="3" ht="14.25" customHeight="1" s="46">
      <c r="A3" s="2" t="n"/>
      <c r="B3" s="2" t="n"/>
      <c r="C3" s="2" t="n"/>
      <c r="D3" s="2" t="n"/>
      <c r="E3" s="2" t="n"/>
      <c r="F3" s="2" t="n"/>
      <c r="G3" s="2" t="n"/>
      <c r="H3" s="2" t="n"/>
      <c r="I3" s="2" t="n"/>
      <c r="J3" s="2" t="n"/>
      <c r="K3" s="2" t="n"/>
    </row>
    <row r="4" ht="25.5" customHeight="1" s="46">
      <c r="A4" s="9" t="inlineStr">
        <is>
          <t>Level</t>
        </is>
      </c>
      <c r="B4" s="9" t="inlineStr">
        <is>
          <t>Opens at</t>
        </is>
      </c>
      <c r="C4" s="9" t="inlineStr">
        <is>
          <t>Holds</t>
        </is>
      </c>
      <c r="D4" s="9" t="inlineStr">
        <is>
          <t>Tax ×</t>
        </is>
      </c>
      <c r="E4" s="9" t="inlineStr">
        <is>
          <t>Upgrade cost</t>
        </is>
      </c>
      <c r="F4" s="9" t="inlineStr">
        <is>
          <t>Services nearby</t>
        </is>
      </c>
      <c r="G4" s="9" t="inlineStr">
        <is>
          <t>Goods it uses</t>
        </is>
      </c>
      <c r="H4" s="9" t="inlineStr">
        <is>
          <t>Food</t>
        </is>
      </c>
      <c r="I4" s="9" t="inlineStr">
        <is>
          <t>Knowledge a month</t>
        </is>
      </c>
      <c r="J4" s="9" t="inlineStr">
        <is>
          <t>Change from today</t>
        </is>
      </c>
      <c r="K4" s="9" t="inlineStr">
        <is>
          <t>Your notes</t>
        </is>
      </c>
    </row>
    <row r="5" ht="13.5" customHeight="1" s="46">
      <c r="A5" s="7" t="inlineStr">
        <is>
          <t>Cottage</t>
        </is>
      </c>
      <c r="B5" s="7" t="inlineStr">
        <is>
          <t>Hamlet</t>
        </is>
      </c>
      <c r="C5" s="11" t="n">
        <v>5</v>
      </c>
      <c r="D5" s="11" t="n">
        <v>1</v>
      </c>
      <c r="E5" s="13" t="inlineStr">
        <is>
          <t>3 timber (to build)</t>
        </is>
      </c>
      <c r="F5" s="7" t="inlineStr">
        <is>
          <t>—</t>
        </is>
      </c>
      <c r="G5" s="7" t="inlineStr">
        <is>
          <t>—</t>
        </is>
      </c>
      <c r="H5" s="7" t="inlineStr">
        <is>
          <t>Enough food; firewood in winter</t>
        </is>
      </c>
      <c r="I5" s="11" t="n">
        <v>0</v>
      </c>
      <c r="J5" s="7" t="n"/>
      <c r="K5" s="45" t="n"/>
    </row>
    <row r="6" ht="42" customHeight="1" s="46">
      <c r="A6" s="7" t="inlineStr">
        <is>
          <t>Timber House</t>
        </is>
      </c>
      <c r="B6" s="7" t="inlineStr">
        <is>
          <t>Village</t>
        </is>
      </c>
      <c r="C6" s="11" t="n">
        <v>7</v>
      </c>
      <c r="D6" s="11" t="n">
        <v>1.5</v>
      </c>
      <c r="E6" s="13" t="inlineStr">
        <is>
          <t>3 planks, 2 timber</t>
        </is>
      </c>
      <c r="F6" s="7" t="inlineStr">
        <is>
          <t>A wooden church; a well, market stall</t>
        </is>
      </c>
      <c r="G6" s="7" t="inlineStr">
        <is>
          <t>—</t>
        </is>
      </c>
      <c r="H6" s="7" t="inlineStr">
        <is>
          <t>2 food groups</t>
        </is>
      </c>
      <c r="I6" s="19">
        <f>'0 Knowledge'!C8</f>
        <v/>
      </c>
      <c r="J6" s="7" t="inlineStr">
        <is>
          <t>No longer needs a market, drink or clothes; now needs a church (your answer).</t>
        </is>
      </c>
      <c r="K6" s="45" t="n"/>
    </row>
    <row r="7" ht="55.5" customHeight="1" s="46">
      <c r="A7" s="7" t="inlineStr">
        <is>
          <t>Townhouse</t>
        </is>
      </c>
      <c r="B7" s="7" t="inlineStr">
        <is>
          <t>Town</t>
        </is>
      </c>
      <c r="C7" s="11" t="n">
        <v>9</v>
      </c>
      <c r="D7" s="11" t="n">
        <v>2</v>
      </c>
      <c r="E7" s="13" t="inlineStr">
        <is>
          <t>5 planks, 4 tiles, 3 stone</t>
        </is>
      </c>
      <c r="F7" s="7" t="inlineStr">
        <is>
          <t>an alehouse or tavern with drink, a stone church</t>
        </is>
      </c>
      <c r="G7" s="13" t="inlineStr">
        <is>
          <t>Clothes or boots (either garment); medicine (herbs will do, used three times as fast)</t>
        </is>
      </c>
      <c r="H7" s="7" t="inlineStr">
        <is>
          <t>3 food groups</t>
        </is>
      </c>
      <c r="I7" s="19">
        <f>'0 Knowledge'!C9</f>
        <v/>
      </c>
      <c r="J7" s="7" t="inlineStr">
        <is>
          <t>Drink and the market move here from the Timber House. Boots move up to the Merchant's House. The church need moves down to the Timber House.</t>
        </is>
      </c>
      <c r="K7" s="45" t="n"/>
    </row>
    <row r="8" ht="55.5" customHeight="1" s="46">
      <c r="A8" s="7" t="inlineStr">
        <is>
          <t>Merchant's House</t>
        </is>
      </c>
      <c r="B8" s="7" t="inlineStr">
        <is>
          <t>Borough</t>
        </is>
      </c>
      <c r="C8" s="11" t="n">
        <v>9</v>
      </c>
      <c r="D8" s="11" t="n">
        <v>3</v>
      </c>
      <c r="E8" s="13" t="inlineStr">
        <is>
          <t>3 dressed stone, 5 tiles, 3 mortar, 1 glass, 5 coins</t>
        </is>
      </c>
      <c r="F8" s="7" t="inlineStr">
        <is>
          <t>A dressed stone church; a bathhouse (proposal)</t>
        </is>
      </c>
      <c r="G8" s="13" t="inlineStr">
        <is>
          <t>Clothes, boots, medicine; one luxury (jewellery, fine clothes, glass, wine or fine pottery)</t>
        </is>
      </c>
      <c r="H8" s="7" t="inlineStr">
        <is>
          <t>4 food groups</t>
        </is>
      </c>
      <c r="I8" s="19">
        <f>'0 Knowledge'!C10</f>
        <v/>
      </c>
      <c r="J8" s="7" t="inlineStr">
        <is>
          <t>Mortar and glass replace planks and tools in the cost: their first real uses (G14). Glassware is a new luxury (your note). Fine pottery is now only a luxury; books and mead are no longer luxuries.</t>
        </is>
      </c>
      <c r="K8" s="45" t="n"/>
    </row>
    <row r="9" ht="27.75" customHeight="1" s="46">
      <c r="A9" s="7" t="inlineStr">
        <is>
          <t>Patrician House (proposal)</t>
        </is>
      </c>
      <c r="B9" s="7" t="inlineStr">
        <is>
          <t>City</t>
        </is>
      </c>
      <c r="C9" s="11" t="n">
        <v>9</v>
      </c>
      <c r="D9" s="11" t="n">
        <v>4</v>
      </c>
      <c r="E9" s="13" t="inlineStr">
        <is>
          <t>5 dressed stone, 4 mortar, 1 stained glass, 25 coins</t>
        </is>
      </c>
      <c r="F9" s="7" t="inlineStr">
        <is>
          <t>As the Merchant's House, and a school (public or Sunday), a Great Work</t>
        </is>
      </c>
      <c r="G9" s="7" t="inlineStr">
        <is>
          <t>As the Merchant's House, plus fine clothes and two more luxury</t>
        </is>
      </c>
      <c r="H9" s="7" t="inlineStr">
        <is>
          <t>4 food groups</t>
        </is>
      </c>
      <c r="I9" s="11" t="n">
        <v>0.75</v>
      </c>
      <c r="J9" s="7" t="inlineStr">
        <is>
          <t>New fifth level, so the City has a home to grow into. Your call.</t>
        </is>
      </c>
      <c r="K9" s="45" t="inlineStr">
        <is>
          <t>I like it, but I made it even more challeging</t>
        </is>
      </c>
    </row>
    <row r="10" ht="14.25" customHeight="1" s="46">
      <c r="A10" s="2" t="n"/>
      <c r="B10" s="2" t="n"/>
      <c r="C10" s="2" t="n"/>
      <c r="D10" s="2" t="n"/>
      <c r="E10" s="2" t="n"/>
      <c r="F10" s="2" t="n"/>
      <c r="G10" s="2" t="n"/>
      <c r="H10" s="2" t="n"/>
      <c r="I10" s="2" t="n"/>
      <c r="J10" s="2" t="n"/>
      <c r="K10" s="2" t="n"/>
    </row>
    <row r="11" ht="14.25" customHeight="1" s="46">
      <c r="A11" s="3" t="inlineStr">
        <is>
          <t>Every level also needs everything the level below needs. Homes take goods from the market one at a time as they wear out (one every two months), as today.</t>
        </is>
      </c>
      <c r="B11" s="2" t="n"/>
      <c r="C11" s="2" t="n"/>
      <c r="D11" s="2" t="n"/>
      <c r="E11" s="2" t="n"/>
      <c r="F11" s="2" t="n"/>
      <c r="G11" s="2" t="n"/>
      <c r="H11" s="2" t="n"/>
      <c r="I11" s="2" t="n"/>
      <c r="J11" s="2" t="n"/>
      <c r="K11" s="2" t="n"/>
    </row>
    <row r="12" ht="14.25" customHeight="1" s="46">
      <c r="A12" s="2" t="n"/>
      <c r="B12" s="2" t="n"/>
      <c r="C12" s="2" t="n"/>
      <c r="D12" s="2" t="n"/>
      <c r="E12" s="2" t="n"/>
      <c r="F12" s="2" t="n"/>
      <c r="G12" s="2" t="n"/>
      <c r="H12" s="2" t="n"/>
      <c r="I12" s="2" t="n"/>
      <c r="J12" s="2" t="n"/>
      <c r="K12" s="2" t="n"/>
    </row>
    <row r="13" ht="14.25" customHeight="1" s="46">
      <c r="A13" s="2" t="n"/>
      <c r="B13" s="2" t="n"/>
      <c r="C13" s="2" t="n"/>
      <c r="D13" s="2" t="n"/>
      <c r="E13" s="2" t="n"/>
      <c r="F13" s="2" t="n"/>
      <c r="G13" s="2" t="n"/>
      <c r="H13" s="2" t="n"/>
      <c r="I13" s="2" t="n"/>
      <c r="J13" s="2" t="n"/>
      <c r="K13" s="2" t="n"/>
    </row>
    <row r="14" ht="14.25" customHeight="1" s="46">
      <c r="A14" s="2" t="n"/>
      <c r="B14" s="2" t="n"/>
      <c r="C14" s="2" t="n"/>
      <c r="D14" s="2" t="n"/>
      <c r="E14" s="2" t="n"/>
      <c r="F14" s="2" t="n"/>
      <c r="G14" s="2" t="n"/>
      <c r="H14" s="2" t="n"/>
      <c r="I14" s="2" t="n"/>
      <c r="J14" s="2" t="n"/>
      <c r="K14" s="2" t="n"/>
    </row>
    <row r="15" ht="14.25" customHeight="1" s="46">
      <c r="A15" s="2" t="n"/>
      <c r="B15" s="2" t="n"/>
      <c r="C15" s="2" t="n"/>
      <c r="D15" s="2" t="n"/>
      <c r="E15" s="2" t="n"/>
      <c r="F15" s="2" t="n"/>
      <c r="G15" s="2" t="n"/>
      <c r="H15" s="2" t="n"/>
      <c r="I15" s="2" t="n"/>
      <c r="J15" s="2" t="n"/>
      <c r="K15" s="2" t="n"/>
    </row>
    <row r="16" ht="14.25" customHeight="1" s="46">
      <c r="A16" s="2" t="n"/>
      <c r="B16" s="2" t="n"/>
      <c r="C16" s="2" t="n"/>
      <c r="D16" s="2" t="n"/>
      <c r="E16" s="2" t="n"/>
      <c r="F16" s="2" t="n"/>
      <c r="G16" s="2" t="n"/>
      <c r="H16" s="2" t="n"/>
      <c r="I16" s="2" t="n"/>
      <c r="J16" s="2" t="n"/>
      <c r="K16" s="2" t="n"/>
    </row>
    <row r="17" ht="14.25" customHeight="1" s="46">
      <c r="A17" s="2" t="n"/>
      <c r="B17" s="2" t="n"/>
      <c r="C17" s="2" t="n"/>
      <c r="D17" s="2" t="n"/>
      <c r="E17" s="2" t="n"/>
      <c r="F17" s="2" t="n"/>
      <c r="G17" s="2" t="n"/>
      <c r="H17" s="2" t="n"/>
      <c r="I17" s="2" t="n"/>
      <c r="J17" s="2" t="n"/>
      <c r="K17" s="2" t="n"/>
    </row>
    <row r="18" ht="14.25" customHeight="1" s="46">
      <c r="A18" s="2" t="n"/>
      <c r="B18" s="2" t="n"/>
      <c r="C18" s="2" t="n"/>
      <c r="D18" s="2" t="n"/>
      <c r="E18" s="2" t="n"/>
      <c r="F18" s="2" t="n"/>
      <c r="G18" s="2" t="n"/>
      <c r="H18" s="2" t="n"/>
      <c r="I18" s="2" t="n"/>
      <c r="J18" s="2" t="n"/>
      <c r="K18" s="2" t="n"/>
    </row>
    <row r="19" ht="14.25" customHeight="1" s="46">
      <c r="A19" s="2" t="n"/>
      <c r="B19" s="2" t="n"/>
      <c r="C19" s="2" t="n"/>
      <c r="D19" s="2" t="n"/>
      <c r="E19" s="2" t="n"/>
      <c r="F19" s="2" t="n"/>
      <c r="G19" s="2" t="n"/>
      <c r="H19" s="2" t="n"/>
      <c r="I19" s="2" t="n"/>
      <c r="J19" s="2" t="n"/>
      <c r="K19" s="2" t="n"/>
    </row>
    <row r="20" ht="14.25" customHeight="1" s="46">
      <c r="A20" s="2" t="n"/>
      <c r="B20" s="2" t="n"/>
      <c r="C20" s="2" t="n"/>
      <c r="D20" s="2" t="n"/>
      <c r="E20" s="2" t="n"/>
      <c r="F20" s="2" t="n"/>
      <c r="G20" s="2" t="n"/>
      <c r="H20" s="2" t="n"/>
      <c r="I20" s="2" t="n"/>
      <c r="J20" s="2" t="n"/>
      <c r="K20" s="2" t="n"/>
    </row>
    <row r="21" ht="14.25" customHeight="1" s="46">
      <c r="A21" s="2" t="n"/>
      <c r="B21" s="2" t="n"/>
      <c r="C21" s="2" t="n"/>
      <c r="D21" s="2" t="n"/>
      <c r="E21" s="2" t="n"/>
      <c r="F21" s="2" t="n"/>
      <c r="G21" s="2" t="n"/>
      <c r="H21" s="2" t="n"/>
      <c r="I21" s="2" t="n"/>
      <c r="J21" s="2" t="n"/>
      <c r="K21" s="2" t="n"/>
    </row>
    <row r="22" ht="14.25" customHeight="1" s="46">
      <c r="A22" s="2" t="n"/>
      <c r="B22" s="2" t="n"/>
      <c r="C22" s="2" t="n"/>
      <c r="D22" s="2" t="n"/>
      <c r="E22" s="2" t="n"/>
      <c r="F22" s="2" t="n"/>
      <c r="G22" s="2" t="n"/>
      <c r="H22" s="2" t="n"/>
      <c r="I22" s="2" t="n"/>
      <c r="J22" s="2" t="n"/>
      <c r="K22" s="2" t="n"/>
    </row>
    <row r="23" ht="14.25" customHeight="1" s="46">
      <c r="A23" s="2" t="n"/>
      <c r="B23" s="2" t="n"/>
      <c r="C23" s="2" t="n"/>
      <c r="D23" s="2" t="n"/>
      <c r="E23" s="2" t="n"/>
      <c r="F23" s="2" t="n"/>
      <c r="G23" s="2" t="n"/>
      <c r="H23" s="2" t="n"/>
      <c r="I23" s="2" t="n"/>
      <c r="J23" s="2" t="n"/>
      <c r="K23" s="2" t="n"/>
    </row>
    <row r="24" ht="14.25" customHeight="1" s="46">
      <c r="A24" s="2" t="n"/>
      <c r="B24" s="2" t="n"/>
      <c r="C24" s="2" t="n"/>
      <c r="D24" s="2" t="n"/>
      <c r="E24" s="2" t="n"/>
      <c r="F24" s="2" t="n"/>
      <c r="G24" s="2" t="n"/>
      <c r="H24" s="2" t="n"/>
      <c r="I24" s="2" t="n"/>
      <c r="J24" s="2" t="n"/>
      <c r="K24" s="2" t="n"/>
    </row>
    <row r="25" ht="14.25" customHeight="1" s="46">
      <c r="A25" s="2" t="n"/>
      <c r="B25" s="2" t="n"/>
      <c r="C25" s="2" t="n"/>
      <c r="D25" s="2" t="n"/>
      <c r="E25" s="2" t="n"/>
      <c r="F25" s="2" t="n"/>
      <c r="G25" s="2" t="n"/>
      <c r="H25" s="2" t="n"/>
      <c r="I25" s="2" t="n"/>
      <c r="J25" s="2" t="n"/>
      <c r="K25" s="2" t="n"/>
    </row>
    <row r="26" ht="14.25" customHeight="1" s="46">
      <c r="A26" s="2" t="n"/>
      <c r="B26" s="2" t="n"/>
      <c r="C26" s="2" t="n"/>
      <c r="D26" s="2" t="n"/>
      <c r="E26" s="2" t="n"/>
      <c r="F26" s="2" t="n"/>
      <c r="G26" s="2" t="n"/>
      <c r="H26" s="2" t="n"/>
      <c r="I26" s="2" t="n"/>
      <c r="J26" s="2" t="n"/>
      <c r="K26" s="2" t="n"/>
    </row>
    <row r="27" ht="14.25" customHeight="1" s="46">
      <c r="A27" s="2" t="n"/>
      <c r="B27" s="2" t="n"/>
      <c r="C27" s="2" t="n"/>
      <c r="D27" s="2" t="n"/>
      <c r="E27" s="2" t="n"/>
      <c r="F27" s="2" t="n"/>
      <c r="G27" s="2" t="n"/>
      <c r="H27" s="2" t="n"/>
      <c r="I27" s="2" t="n"/>
      <c r="J27" s="2" t="n"/>
      <c r="K27" s="2" t="n"/>
    </row>
    <row r="28" ht="14.25" customHeight="1" s="46">
      <c r="A28" s="2" t="n"/>
      <c r="B28" s="2" t="n"/>
      <c r="C28" s="2" t="n"/>
      <c r="D28" s="2" t="n"/>
      <c r="E28" s="2" t="n"/>
      <c r="F28" s="2" t="n"/>
      <c r="G28" s="2" t="n"/>
      <c r="H28" s="2" t="n"/>
      <c r="I28" s="2" t="n"/>
      <c r="J28" s="2" t="n"/>
      <c r="K28" s="2" t="n"/>
    </row>
    <row r="29" ht="14.25" customHeight="1" s="46">
      <c r="A29" s="2" t="n"/>
      <c r="B29" s="2" t="n"/>
      <c r="C29" s="2" t="n"/>
      <c r="D29" s="2" t="n"/>
      <c r="E29" s="2" t="n"/>
      <c r="F29" s="2" t="n"/>
      <c r="G29" s="2" t="n"/>
      <c r="H29" s="2" t="n"/>
      <c r="I29" s="2" t="n"/>
      <c r="J29" s="2" t="n"/>
      <c r="K29" s="2" t="n"/>
    </row>
    <row r="30" ht="14.25" customHeight="1" s="46">
      <c r="A30" s="2" t="n"/>
      <c r="B30" s="2" t="n"/>
      <c r="C30" s="2" t="n"/>
      <c r="D30" s="2" t="n"/>
      <c r="E30" s="2" t="n"/>
      <c r="F30" s="2" t="n"/>
      <c r="G30" s="2" t="n"/>
      <c r="H30" s="2" t="n"/>
      <c r="I30" s="2" t="n"/>
      <c r="J30" s="2" t="n"/>
      <c r="K30" s="2" t="n"/>
    </row>
    <row r="31" ht="14.25" customHeight="1" s="46">
      <c r="A31" s="2" t="n"/>
      <c r="B31" s="2" t="n"/>
      <c r="C31" s="2" t="n"/>
      <c r="D31" s="2" t="n"/>
      <c r="E31" s="2" t="n"/>
      <c r="F31" s="2" t="n"/>
      <c r="G31" s="2" t="n"/>
      <c r="H31" s="2" t="n"/>
      <c r="I31" s="2" t="n"/>
      <c r="J31" s="2" t="n"/>
      <c r="K31" s="2" t="n"/>
    </row>
    <row r="32" ht="14.25" customHeight="1" s="46">
      <c r="A32" s="2" t="n"/>
      <c r="B32" s="2" t="n"/>
      <c r="C32" s="2" t="n"/>
      <c r="D32" s="2" t="n"/>
      <c r="E32" s="2" t="n"/>
      <c r="F32" s="2" t="n"/>
      <c r="G32" s="2" t="n"/>
      <c r="H32" s="2" t="n"/>
      <c r="I32" s="2" t="n"/>
      <c r="J32" s="2" t="n"/>
      <c r="K32" s="2" t="n"/>
    </row>
    <row r="33" ht="14.25" customHeight="1" s="46">
      <c r="A33" s="2" t="n"/>
      <c r="B33" s="2" t="n"/>
      <c r="C33" s="2" t="n"/>
      <c r="D33" s="2" t="n"/>
      <c r="E33" s="2" t="n"/>
      <c r="F33" s="2" t="n"/>
      <c r="G33" s="2" t="n"/>
      <c r="H33" s="2" t="n"/>
      <c r="I33" s="2" t="n"/>
      <c r="J33" s="2" t="n"/>
      <c r="K33" s="2" t="n"/>
    </row>
    <row r="34" ht="14.25" customHeight="1" s="46">
      <c r="A34" s="2" t="n"/>
      <c r="B34" s="2" t="n"/>
      <c r="C34" s="2" t="n"/>
      <c r="D34" s="2" t="n"/>
      <c r="E34" s="2" t="n"/>
      <c r="F34" s="2" t="n"/>
      <c r="G34" s="2" t="n"/>
      <c r="H34" s="2" t="n"/>
      <c r="I34" s="2" t="n"/>
      <c r="J34" s="2" t="n"/>
      <c r="K34" s="2" t="n"/>
    </row>
    <row r="35" ht="14.25" customHeight="1" s="46">
      <c r="A35" s="2" t="n"/>
      <c r="B35" s="2" t="n"/>
      <c r="C35" s="2" t="n"/>
      <c r="D35" s="2" t="n"/>
      <c r="E35" s="2" t="n"/>
      <c r="F35" s="2" t="n"/>
      <c r="G35" s="2" t="n"/>
      <c r="H35" s="2" t="n"/>
      <c r="I35" s="2" t="n"/>
      <c r="J35" s="2" t="n"/>
      <c r="K35" s="2" t="n"/>
    </row>
    <row r="36" ht="14.25" customHeight="1" s="46">
      <c r="A36" s="2" t="n"/>
      <c r="B36" s="2" t="n"/>
      <c r="C36" s="2" t="n"/>
      <c r="D36" s="2" t="n"/>
      <c r="E36" s="2" t="n"/>
      <c r="F36" s="2" t="n"/>
      <c r="G36" s="2" t="n"/>
      <c r="H36" s="2" t="n"/>
      <c r="I36" s="2" t="n"/>
      <c r="J36" s="2" t="n"/>
      <c r="K36" s="2" t="n"/>
    </row>
    <row r="37" ht="14.25" customHeight="1" s="46">
      <c r="A37" s="2" t="n"/>
      <c r="B37" s="2" t="n"/>
      <c r="C37" s="2" t="n"/>
      <c r="D37" s="2" t="n"/>
      <c r="E37" s="2" t="n"/>
      <c r="F37" s="2" t="n"/>
      <c r="G37" s="2" t="n"/>
      <c r="H37" s="2" t="n"/>
      <c r="I37" s="2" t="n"/>
      <c r="J37" s="2" t="n"/>
      <c r="K37" s="2" t="n"/>
    </row>
    <row r="38" ht="14.25" customHeight="1" s="46">
      <c r="A38" s="2" t="n"/>
      <c r="B38" s="2" t="n"/>
      <c r="C38" s="2" t="n"/>
      <c r="D38" s="2" t="n"/>
      <c r="E38" s="2" t="n"/>
      <c r="F38" s="2" t="n"/>
      <c r="G38" s="2" t="n"/>
      <c r="H38" s="2" t="n"/>
      <c r="I38" s="2" t="n"/>
      <c r="J38" s="2" t="n"/>
      <c r="K38" s="2" t="n"/>
    </row>
    <row r="39" ht="14.25" customHeight="1" s="46">
      <c r="A39" s="2" t="n"/>
      <c r="B39" s="2" t="n"/>
      <c r="C39" s="2" t="n"/>
      <c r="D39" s="2" t="n"/>
      <c r="E39" s="2" t="n"/>
      <c r="F39" s="2" t="n"/>
      <c r="G39" s="2" t="n"/>
      <c r="H39" s="2" t="n"/>
      <c r="I39" s="2" t="n"/>
      <c r="J39" s="2" t="n"/>
      <c r="K39" s="2" t="n"/>
    </row>
    <row r="40" ht="14.25" customHeight="1" s="46">
      <c r="A40" s="2" t="n"/>
      <c r="B40" s="2" t="n"/>
      <c r="C40" s="2" t="n"/>
      <c r="D40" s="2" t="n"/>
      <c r="E40" s="2" t="n"/>
      <c r="F40" s="2" t="n"/>
      <c r="G40" s="2" t="n"/>
      <c r="H40" s="2" t="n"/>
      <c r="I40" s="2" t="n"/>
      <c r="J40" s="2" t="n"/>
      <c r="K40" s="2" t="n"/>
    </row>
    <row r="41" ht="14.25" customHeight="1" s="46">
      <c r="A41" s="2" t="n"/>
      <c r="B41" s="2" t="n"/>
      <c r="C41" s="2" t="n"/>
      <c r="D41" s="2" t="n"/>
      <c r="E41" s="2" t="n"/>
      <c r="F41" s="2" t="n"/>
      <c r="G41" s="2" t="n"/>
      <c r="H41" s="2" t="n"/>
      <c r="I41" s="2" t="n"/>
      <c r="J41" s="2" t="n"/>
      <c r="K41" s="2" t="n"/>
    </row>
    <row r="42" ht="14.25" customHeight="1" s="46">
      <c r="A42" s="2" t="n"/>
      <c r="B42" s="2" t="n"/>
      <c r="C42" s="2" t="n"/>
      <c r="D42" s="2" t="n"/>
      <c r="E42" s="2" t="n"/>
      <c r="F42" s="2" t="n"/>
      <c r="G42" s="2" t="n"/>
      <c r="H42" s="2" t="n"/>
      <c r="I42" s="2" t="n"/>
      <c r="J42" s="2" t="n"/>
      <c r="K42" s="2" t="n"/>
    </row>
    <row r="43" ht="14.25" customHeight="1" s="46">
      <c r="A43" s="2" t="n"/>
      <c r="B43" s="2" t="n"/>
      <c r="C43" s="2" t="n"/>
      <c r="D43" s="2" t="n"/>
      <c r="E43" s="2" t="n"/>
      <c r="F43" s="2" t="n"/>
      <c r="G43" s="2" t="n"/>
      <c r="H43" s="2" t="n"/>
      <c r="I43" s="2" t="n"/>
      <c r="J43" s="2" t="n"/>
      <c r="K43" s="2" t="n"/>
    </row>
    <row r="44" ht="14.25" customHeight="1" s="46">
      <c r="A44" s="2" t="n"/>
      <c r="B44" s="2" t="n"/>
      <c r="C44" s="2" t="n"/>
      <c r="D44" s="2" t="n"/>
      <c r="E44" s="2" t="n"/>
      <c r="F44" s="2" t="n"/>
      <c r="G44" s="2" t="n"/>
      <c r="H44" s="2" t="n"/>
      <c r="I44" s="2" t="n"/>
      <c r="J44" s="2" t="n"/>
      <c r="K44" s="2" t="n"/>
    </row>
    <row r="45" ht="14.25" customHeight="1" s="46">
      <c r="A45" s="2" t="n"/>
      <c r="B45" s="2" t="n"/>
      <c r="C45" s="2" t="n"/>
      <c r="D45" s="2" t="n"/>
      <c r="E45" s="2" t="n"/>
      <c r="F45" s="2" t="n"/>
      <c r="G45" s="2" t="n"/>
      <c r="H45" s="2" t="n"/>
      <c r="I45" s="2" t="n"/>
      <c r="J45" s="2" t="n"/>
      <c r="K45" s="2" t="n"/>
    </row>
    <row r="46" ht="14.25" customHeight="1" s="46">
      <c r="A46" s="2" t="n"/>
      <c r="B46" s="2" t="n"/>
      <c r="C46" s="2" t="n"/>
      <c r="D46" s="2" t="n"/>
      <c r="E46" s="2" t="n"/>
      <c r="F46" s="2" t="n"/>
      <c r="G46" s="2" t="n"/>
      <c r="H46" s="2" t="n"/>
      <c r="I46" s="2" t="n"/>
      <c r="J46" s="2" t="n"/>
      <c r="K46" s="2" t="n"/>
    </row>
    <row r="47" ht="14.25" customHeight="1" s="46">
      <c r="A47" s="2" t="n"/>
      <c r="B47" s="2" t="n"/>
      <c r="C47" s="2" t="n"/>
      <c r="D47" s="2" t="n"/>
      <c r="E47" s="2" t="n"/>
      <c r="F47" s="2" t="n"/>
      <c r="G47" s="2" t="n"/>
      <c r="H47" s="2" t="n"/>
      <c r="I47" s="2" t="n"/>
      <c r="J47" s="2" t="n"/>
      <c r="K47" s="2" t="n"/>
    </row>
    <row r="48" ht="14.25" customHeight="1" s="46">
      <c r="A48" s="2" t="n"/>
      <c r="B48" s="2" t="n"/>
      <c r="C48" s="2" t="n"/>
      <c r="D48" s="2" t="n"/>
      <c r="E48" s="2" t="n"/>
      <c r="F48" s="2" t="n"/>
      <c r="G48" s="2" t="n"/>
      <c r="H48" s="2" t="n"/>
      <c r="I48" s="2" t="n"/>
      <c r="J48" s="2" t="n"/>
      <c r="K48" s="2" t="n"/>
    </row>
    <row r="49" ht="14.25" customHeight="1" s="46">
      <c r="A49" s="2" t="n"/>
      <c r="B49" s="2" t="n"/>
      <c r="C49" s="2" t="n"/>
      <c r="D49" s="2" t="n"/>
      <c r="E49" s="2" t="n"/>
      <c r="F49" s="2" t="n"/>
      <c r="G49" s="2" t="n"/>
      <c r="H49" s="2" t="n"/>
      <c r="I49" s="2" t="n"/>
      <c r="J49" s="2" t="n"/>
      <c r="K49" s="2" t="n"/>
    </row>
    <row r="50" ht="14.25" customHeight="1" s="46">
      <c r="A50" s="2" t="n"/>
      <c r="B50" s="2" t="n"/>
      <c r="C50" s="2" t="n"/>
      <c r="D50" s="2" t="n"/>
      <c r="E50" s="2" t="n"/>
      <c r="F50" s="2" t="n"/>
      <c r="G50" s="2" t="n"/>
      <c r="H50" s="2" t="n"/>
      <c r="I50" s="2" t="n"/>
      <c r="J50" s="2" t="n"/>
      <c r="K50" s="2" t="n"/>
    </row>
    <row r="51" ht="14.25" customHeight="1" s="46">
      <c r="A51" s="2" t="n"/>
      <c r="B51" s="2" t="n"/>
      <c r="C51" s="2" t="n"/>
      <c r="D51" s="2" t="n"/>
      <c r="E51" s="2" t="n"/>
      <c r="F51" s="2" t="n"/>
      <c r="G51" s="2" t="n"/>
      <c r="H51" s="2" t="n"/>
      <c r="I51" s="2" t="n"/>
      <c r="J51" s="2" t="n"/>
      <c r="K51" s="2" t="n"/>
    </row>
    <row r="52" ht="14.25" customHeight="1" s="46">
      <c r="A52" s="2" t="n"/>
      <c r="B52" s="2" t="n"/>
      <c r="C52" s="2" t="n"/>
      <c r="D52" s="2" t="n"/>
      <c r="E52" s="2" t="n"/>
      <c r="F52" s="2" t="n"/>
      <c r="G52" s="2" t="n"/>
      <c r="H52" s="2" t="n"/>
      <c r="I52" s="2" t="n"/>
      <c r="J52" s="2" t="n"/>
      <c r="K52" s="2" t="n"/>
    </row>
    <row r="53" ht="14.25" customHeight="1" s="46">
      <c r="A53" s="2" t="n"/>
      <c r="B53" s="2" t="n"/>
      <c r="C53" s="2" t="n"/>
      <c r="D53" s="2" t="n"/>
      <c r="E53" s="2" t="n"/>
      <c r="F53" s="2" t="n"/>
      <c r="G53" s="2" t="n"/>
      <c r="H53" s="2" t="n"/>
      <c r="I53" s="2" t="n"/>
      <c r="J53" s="2" t="n"/>
      <c r="K53" s="2" t="n"/>
    </row>
    <row r="54" ht="14.25" customHeight="1" s="46">
      <c r="A54" s="2" t="n"/>
      <c r="B54" s="2" t="n"/>
      <c r="C54" s="2" t="n"/>
      <c r="D54" s="2" t="n"/>
      <c r="E54" s="2" t="n"/>
      <c r="F54" s="2" t="n"/>
      <c r="G54" s="2" t="n"/>
      <c r="H54" s="2" t="n"/>
      <c r="I54" s="2" t="n"/>
      <c r="J54" s="2" t="n"/>
      <c r="K54" s="2" t="n"/>
    </row>
    <row r="55" ht="14.25" customHeight="1" s="46">
      <c r="A55" s="2" t="n"/>
      <c r="B55" s="2" t="n"/>
      <c r="C55" s="2" t="n"/>
      <c r="D55" s="2" t="n"/>
      <c r="E55" s="2" t="n"/>
      <c r="F55" s="2" t="n"/>
      <c r="G55" s="2" t="n"/>
      <c r="H55" s="2" t="n"/>
      <c r="I55" s="2" t="n"/>
      <c r="J55" s="2" t="n"/>
      <c r="K55" s="2" t="n"/>
    </row>
    <row r="56" ht="14.25" customHeight="1" s="46">
      <c r="A56" s="2" t="n"/>
      <c r="B56" s="2" t="n"/>
      <c r="C56" s="2" t="n"/>
      <c r="D56" s="2" t="n"/>
      <c r="E56" s="2" t="n"/>
      <c r="F56" s="2" t="n"/>
      <c r="G56" s="2" t="n"/>
      <c r="H56" s="2" t="n"/>
      <c r="I56" s="2" t="n"/>
      <c r="J56" s="2" t="n"/>
      <c r="K56" s="2" t="n"/>
    </row>
    <row r="57" ht="14.25" customHeight="1" s="46">
      <c r="A57" s="2" t="n"/>
      <c r="B57" s="2" t="n"/>
      <c r="C57" s="2" t="n"/>
      <c r="D57" s="2" t="n"/>
      <c r="E57" s="2" t="n"/>
      <c r="F57" s="2" t="n"/>
      <c r="G57" s="2" t="n"/>
      <c r="H57" s="2" t="n"/>
      <c r="I57" s="2" t="n"/>
      <c r="J57" s="2" t="n"/>
      <c r="K57" s="2" t="n"/>
    </row>
    <row r="58" ht="14.25" customHeight="1" s="46">
      <c r="A58" s="2" t="n"/>
      <c r="B58" s="2" t="n"/>
      <c r="C58" s="2" t="n"/>
      <c r="D58" s="2" t="n"/>
      <c r="E58" s="2" t="n"/>
      <c r="F58" s="2" t="n"/>
      <c r="G58" s="2" t="n"/>
      <c r="H58" s="2" t="n"/>
      <c r="I58" s="2" t="n"/>
      <c r="J58" s="2" t="n"/>
      <c r="K58" s="2" t="n"/>
    </row>
    <row r="59" ht="14.25" customHeight="1" s="46">
      <c r="A59" s="2" t="n"/>
      <c r="B59" s="2" t="n"/>
      <c r="C59" s="2" t="n"/>
      <c r="D59" s="2" t="n"/>
      <c r="E59" s="2" t="n"/>
      <c r="F59" s="2" t="n"/>
      <c r="G59" s="2" t="n"/>
      <c r="H59" s="2" t="n"/>
      <c r="I59" s="2" t="n"/>
      <c r="J59" s="2" t="n"/>
      <c r="K59" s="2" t="n"/>
    </row>
    <row r="60" ht="14.25" customHeight="1" s="46">
      <c r="A60" s="2" t="n"/>
      <c r="B60" s="2" t="n"/>
      <c r="C60" s="2" t="n"/>
      <c r="D60" s="2" t="n"/>
      <c r="E60" s="2" t="n"/>
      <c r="F60" s="2" t="n"/>
      <c r="G60" s="2" t="n"/>
      <c r="H60" s="2" t="n"/>
      <c r="I60" s="2" t="n"/>
      <c r="J60" s="2" t="n"/>
      <c r="K60" s="2" t="n"/>
    </row>
    <row r="61" ht="14.25" customHeight="1" s="46">
      <c r="A61" s="2" t="n"/>
      <c r="B61" s="2" t="n"/>
      <c r="C61" s="2" t="n"/>
      <c r="D61" s="2" t="n"/>
      <c r="E61" s="2" t="n"/>
      <c r="F61" s="2" t="n"/>
      <c r="G61" s="2" t="n"/>
      <c r="H61" s="2" t="n"/>
      <c r="I61" s="2" t="n"/>
      <c r="J61" s="2" t="n"/>
      <c r="K61" s="2" t="n"/>
    </row>
    <row r="62" ht="14.25" customHeight="1" s="46">
      <c r="A62" s="2" t="n"/>
      <c r="B62" s="2" t="n"/>
      <c r="C62" s="2" t="n"/>
      <c r="D62" s="2" t="n"/>
      <c r="E62" s="2" t="n"/>
      <c r="F62" s="2" t="n"/>
      <c r="G62" s="2" t="n"/>
      <c r="H62" s="2" t="n"/>
      <c r="I62" s="2" t="n"/>
      <c r="J62" s="2" t="n"/>
      <c r="K62" s="2" t="n"/>
    </row>
    <row r="63" ht="14.25" customHeight="1" s="46">
      <c r="A63" s="2" t="n"/>
      <c r="B63" s="2" t="n"/>
      <c r="C63" s="2" t="n"/>
      <c r="D63" s="2" t="n"/>
      <c r="E63" s="2" t="n"/>
      <c r="F63" s="2" t="n"/>
      <c r="G63" s="2" t="n"/>
      <c r="H63" s="2" t="n"/>
      <c r="I63" s="2" t="n"/>
      <c r="J63" s="2" t="n"/>
      <c r="K63" s="2" t="n"/>
    </row>
    <row r="64" ht="14.25" customHeight="1" s="46">
      <c r="A64" s="2" t="n"/>
      <c r="B64" s="2" t="n"/>
      <c r="C64" s="2" t="n"/>
      <c r="D64" s="2" t="n"/>
      <c r="E64" s="2" t="n"/>
      <c r="F64" s="2" t="n"/>
      <c r="G64" s="2" t="n"/>
      <c r="H64" s="2" t="n"/>
      <c r="I64" s="2" t="n"/>
      <c r="J64" s="2" t="n"/>
      <c r="K64" s="2" t="n"/>
    </row>
    <row r="65" ht="14.25" customHeight="1" s="46">
      <c r="A65" s="2" t="n"/>
      <c r="B65" s="2" t="n"/>
      <c r="C65" s="2" t="n"/>
      <c r="D65" s="2" t="n"/>
      <c r="E65" s="2" t="n"/>
      <c r="F65" s="2" t="n"/>
      <c r="G65" s="2" t="n"/>
      <c r="H65" s="2" t="n"/>
      <c r="I65" s="2" t="n"/>
      <c r="J65" s="2" t="n"/>
      <c r="K65" s="2" t="n"/>
    </row>
    <row r="66" ht="14.25" customHeight="1" s="46">
      <c r="A66" s="2" t="n"/>
      <c r="B66" s="2" t="n"/>
      <c r="C66" s="2" t="n"/>
      <c r="D66" s="2" t="n"/>
      <c r="E66" s="2" t="n"/>
      <c r="F66" s="2" t="n"/>
      <c r="G66" s="2" t="n"/>
      <c r="H66" s="2" t="n"/>
      <c r="I66" s="2" t="n"/>
      <c r="J66" s="2" t="n"/>
      <c r="K66" s="2" t="n"/>
    </row>
    <row r="67" ht="14.25" customHeight="1" s="46">
      <c r="A67" s="2" t="n"/>
      <c r="B67" s="2" t="n"/>
      <c r="C67" s="2" t="n"/>
      <c r="D67" s="2" t="n"/>
      <c r="E67" s="2" t="n"/>
      <c r="F67" s="2" t="n"/>
      <c r="G67" s="2" t="n"/>
      <c r="H67" s="2" t="n"/>
      <c r="I67" s="2" t="n"/>
      <c r="J67" s="2" t="n"/>
      <c r="K67" s="2" t="n"/>
    </row>
    <row r="68" ht="14.25" customHeight="1" s="46">
      <c r="A68" s="2" t="n"/>
      <c r="B68" s="2" t="n"/>
      <c r="C68" s="2" t="n"/>
      <c r="D68" s="2" t="n"/>
      <c r="E68" s="2" t="n"/>
      <c r="F68" s="2" t="n"/>
      <c r="G68" s="2" t="n"/>
      <c r="H68" s="2" t="n"/>
      <c r="I68" s="2" t="n"/>
      <c r="J68" s="2" t="n"/>
      <c r="K68" s="2" t="n"/>
    </row>
    <row r="69" ht="14.25" customHeight="1" s="46">
      <c r="A69" s="2" t="n"/>
      <c r="B69" s="2" t="n"/>
      <c r="C69" s="2" t="n"/>
      <c r="D69" s="2" t="n"/>
      <c r="E69" s="2" t="n"/>
      <c r="F69" s="2" t="n"/>
      <c r="G69" s="2" t="n"/>
      <c r="H69" s="2" t="n"/>
      <c r="I69" s="2" t="n"/>
      <c r="J69" s="2" t="n"/>
      <c r="K69" s="2" t="n"/>
    </row>
    <row r="70" ht="14.25" customHeight="1" s="46">
      <c r="A70" s="2" t="n"/>
      <c r="B70" s="2" t="n"/>
      <c r="C70" s="2" t="n"/>
      <c r="D70" s="2" t="n"/>
      <c r="E70" s="2" t="n"/>
      <c r="F70" s="2" t="n"/>
      <c r="G70" s="2" t="n"/>
      <c r="H70" s="2" t="n"/>
      <c r="I70" s="2" t="n"/>
      <c r="J70" s="2" t="n"/>
      <c r="K70" s="2" t="n"/>
    </row>
    <row r="71" ht="14.25" customHeight="1" s="46">
      <c r="A71" s="2" t="n"/>
      <c r="B71" s="2" t="n"/>
      <c r="C71" s="2" t="n"/>
      <c r="D71" s="2" t="n"/>
      <c r="E71" s="2" t="n"/>
      <c r="F71" s="2" t="n"/>
      <c r="G71" s="2" t="n"/>
      <c r="H71" s="2" t="n"/>
      <c r="I71" s="2" t="n"/>
      <c r="J71" s="2" t="n"/>
      <c r="K71" s="2" t="n"/>
    </row>
    <row r="72" ht="14.25" customHeight="1" s="46">
      <c r="A72" s="2" t="n"/>
      <c r="B72" s="2" t="n"/>
      <c r="C72" s="2" t="n"/>
      <c r="D72" s="2" t="n"/>
      <c r="E72" s="2" t="n"/>
      <c r="F72" s="2" t="n"/>
      <c r="G72" s="2" t="n"/>
      <c r="H72" s="2" t="n"/>
      <c r="I72" s="2" t="n"/>
      <c r="J72" s="2" t="n"/>
      <c r="K72" s="2" t="n"/>
    </row>
    <row r="73" ht="14.25" customHeight="1" s="46">
      <c r="A73" s="2" t="n"/>
      <c r="B73" s="2" t="n"/>
      <c r="C73" s="2" t="n"/>
      <c r="D73" s="2" t="n"/>
      <c r="E73" s="2" t="n"/>
      <c r="F73" s="2" t="n"/>
      <c r="G73" s="2" t="n"/>
      <c r="H73" s="2" t="n"/>
      <c r="I73" s="2" t="n"/>
      <c r="J73" s="2" t="n"/>
      <c r="K73" s="2" t="n"/>
    </row>
    <row r="74" ht="14.25" customHeight="1" s="46">
      <c r="A74" s="2" t="n"/>
      <c r="B74" s="2" t="n"/>
      <c r="C74" s="2" t="n"/>
      <c r="D74" s="2" t="n"/>
      <c r="E74" s="2" t="n"/>
      <c r="F74" s="2" t="n"/>
      <c r="G74" s="2" t="n"/>
      <c r="H74" s="2" t="n"/>
      <c r="I74" s="2" t="n"/>
      <c r="J74" s="2" t="n"/>
      <c r="K74" s="2" t="n"/>
    </row>
    <row r="75" ht="14.25" customHeight="1" s="46">
      <c r="A75" s="2" t="n"/>
      <c r="B75" s="2" t="n"/>
      <c r="C75" s="2" t="n"/>
      <c r="D75" s="2" t="n"/>
      <c r="E75" s="2" t="n"/>
      <c r="F75" s="2" t="n"/>
      <c r="G75" s="2" t="n"/>
      <c r="H75" s="2" t="n"/>
      <c r="I75" s="2" t="n"/>
      <c r="J75" s="2" t="n"/>
      <c r="K75" s="2" t="n"/>
    </row>
    <row r="76" ht="14.25" customHeight="1" s="46">
      <c r="A76" s="2" t="n"/>
      <c r="B76" s="2" t="n"/>
      <c r="C76" s="2" t="n"/>
      <c r="D76" s="2" t="n"/>
      <c r="E76" s="2" t="n"/>
      <c r="F76" s="2" t="n"/>
      <c r="G76" s="2" t="n"/>
      <c r="H76" s="2" t="n"/>
      <c r="I76" s="2" t="n"/>
      <c r="J76" s="2" t="n"/>
      <c r="K76" s="2" t="n"/>
    </row>
    <row r="77" ht="14.25" customHeight="1" s="46">
      <c r="A77" s="2" t="n"/>
      <c r="B77" s="2" t="n"/>
      <c r="C77" s="2" t="n"/>
      <c r="D77" s="2" t="n"/>
      <c r="E77" s="2" t="n"/>
      <c r="F77" s="2" t="n"/>
      <c r="G77" s="2" t="n"/>
      <c r="H77" s="2" t="n"/>
      <c r="I77" s="2" t="n"/>
      <c r="J77" s="2" t="n"/>
      <c r="K77" s="2" t="n"/>
    </row>
    <row r="78" ht="14.25" customHeight="1" s="46">
      <c r="A78" s="2" t="n"/>
      <c r="B78" s="2" t="n"/>
      <c r="C78" s="2" t="n"/>
      <c r="D78" s="2" t="n"/>
      <c r="E78" s="2" t="n"/>
      <c r="F78" s="2" t="n"/>
      <c r="G78" s="2" t="n"/>
      <c r="H78" s="2" t="n"/>
      <c r="I78" s="2" t="n"/>
      <c r="J78" s="2" t="n"/>
      <c r="K78" s="2" t="n"/>
    </row>
    <row r="79" ht="14.25" customHeight="1" s="46">
      <c r="A79" s="2" t="n"/>
      <c r="B79" s="2" t="n"/>
      <c r="C79" s="2" t="n"/>
      <c r="D79" s="2" t="n"/>
      <c r="E79" s="2" t="n"/>
      <c r="F79" s="2" t="n"/>
      <c r="G79" s="2" t="n"/>
      <c r="H79" s="2" t="n"/>
      <c r="I79" s="2" t="n"/>
      <c r="J79" s="2" t="n"/>
      <c r="K79" s="2" t="n"/>
    </row>
    <row r="80" ht="14.25" customHeight="1" s="46">
      <c r="A80" s="2" t="n"/>
      <c r="B80" s="2" t="n"/>
      <c r="C80" s="2" t="n"/>
      <c r="D80" s="2" t="n"/>
      <c r="E80" s="2" t="n"/>
      <c r="F80" s="2" t="n"/>
      <c r="G80" s="2" t="n"/>
      <c r="H80" s="2" t="n"/>
      <c r="I80" s="2" t="n"/>
      <c r="J80" s="2" t="n"/>
      <c r="K80" s="2" t="n"/>
    </row>
    <row r="81" ht="14.25" customHeight="1" s="46">
      <c r="A81" s="2" t="n"/>
      <c r="B81" s="2" t="n"/>
      <c r="C81" s="2" t="n"/>
      <c r="D81" s="2" t="n"/>
      <c r="E81" s="2" t="n"/>
      <c r="F81" s="2" t="n"/>
      <c r="G81" s="2" t="n"/>
      <c r="H81" s="2" t="n"/>
      <c r="I81" s="2" t="n"/>
      <c r="J81" s="2" t="n"/>
      <c r="K81" s="2" t="n"/>
    </row>
    <row r="82" ht="14.25" customHeight="1" s="46">
      <c r="A82" s="2" t="n"/>
      <c r="B82" s="2" t="n"/>
      <c r="C82" s="2" t="n"/>
      <c r="D82" s="2" t="n"/>
      <c r="E82" s="2" t="n"/>
      <c r="F82" s="2" t="n"/>
      <c r="G82" s="2" t="n"/>
      <c r="H82" s="2" t="n"/>
      <c r="I82" s="2" t="n"/>
      <c r="J82" s="2" t="n"/>
      <c r="K82" s="2" t="n"/>
    </row>
    <row r="83" ht="14.25" customHeight="1" s="46">
      <c r="A83" s="2" t="n"/>
      <c r="B83" s="2" t="n"/>
      <c r="C83" s="2" t="n"/>
      <c r="D83" s="2" t="n"/>
      <c r="E83" s="2" t="n"/>
      <c r="F83" s="2" t="n"/>
      <c r="G83" s="2" t="n"/>
      <c r="H83" s="2" t="n"/>
      <c r="I83" s="2" t="n"/>
      <c r="J83" s="2" t="n"/>
      <c r="K83" s="2" t="n"/>
    </row>
    <row r="84" ht="14.25" customHeight="1" s="46">
      <c r="A84" s="2" t="n"/>
      <c r="B84" s="2" t="n"/>
      <c r="C84" s="2" t="n"/>
      <c r="D84" s="2" t="n"/>
      <c r="E84" s="2" t="n"/>
      <c r="F84" s="2" t="n"/>
      <c r="G84" s="2" t="n"/>
      <c r="H84" s="2" t="n"/>
      <c r="I84" s="2" t="n"/>
      <c r="J84" s="2" t="n"/>
      <c r="K84" s="2" t="n"/>
    </row>
    <row r="85" ht="14.25" customHeight="1" s="46">
      <c r="A85" s="2" t="n"/>
      <c r="B85" s="2" t="n"/>
      <c r="C85" s="2" t="n"/>
      <c r="D85" s="2" t="n"/>
      <c r="E85" s="2" t="n"/>
      <c r="F85" s="2" t="n"/>
      <c r="G85" s="2" t="n"/>
      <c r="H85" s="2" t="n"/>
      <c r="I85" s="2" t="n"/>
      <c r="J85" s="2" t="n"/>
      <c r="K85" s="2" t="n"/>
    </row>
    <row r="86" ht="14.25" customHeight="1" s="46">
      <c r="A86" s="2" t="n"/>
      <c r="B86" s="2" t="n"/>
      <c r="C86" s="2" t="n"/>
      <c r="D86" s="2" t="n"/>
      <c r="E86" s="2" t="n"/>
      <c r="F86" s="2" t="n"/>
      <c r="G86" s="2" t="n"/>
      <c r="H86" s="2" t="n"/>
      <c r="I86" s="2" t="n"/>
      <c r="J86" s="2" t="n"/>
      <c r="K86" s="2" t="n"/>
    </row>
    <row r="87" ht="14.25" customHeight="1" s="46">
      <c r="A87" s="2" t="n"/>
      <c r="B87" s="2" t="n"/>
      <c r="C87" s="2" t="n"/>
      <c r="D87" s="2" t="n"/>
      <c r="E87" s="2" t="n"/>
      <c r="F87" s="2" t="n"/>
      <c r="G87" s="2" t="n"/>
      <c r="H87" s="2" t="n"/>
      <c r="I87" s="2" t="n"/>
      <c r="J87" s="2" t="n"/>
      <c r="K87" s="2" t="n"/>
    </row>
    <row r="88" ht="14.25" customHeight="1" s="46">
      <c r="A88" s="2" t="n"/>
      <c r="B88" s="2" t="n"/>
      <c r="C88" s="2" t="n"/>
      <c r="D88" s="2" t="n"/>
      <c r="E88" s="2" t="n"/>
      <c r="F88" s="2" t="n"/>
      <c r="G88" s="2" t="n"/>
      <c r="H88" s="2" t="n"/>
      <c r="I88" s="2" t="n"/>
      <c r="J88" s="2" t="n"/>
      <c r="K88" s="2" t="n"/>
    </row>
    <row r="89" ht="14.25" customHeight="1" s="46">
      <c r="A89" s="2" t="n"/>
      <c r="B89" s="2" t="n"/>
      <c r="C89" s="2" t="n"/>
      <c r="D89" s="2" t="n"/>
      <c r="E89" s="2" t="n"/>
      <c r="F89" s="2" t="n"/>
      <c r="G89" s="2" t="n"/>
      <c r="H89" s="2" t="n"/>
      <c r="I89" s="2" t="n"/>
      <c r="J89" s="2" t="n"/>
      <c r="K89" s="2" t="n"/>
    </row>
    <row r="90" ht="14.25" customHeight="1" s="46">
      <c r="A90" s="2" t="n"/>
      <c r="B90" s="2" t="n"/>
      <c r="C90" s="2" t="n"/>
      <c r="D90" s="2" t="n"/>
      <c r="E90" s="2" t="n"/>
      <c r="F90" s="2" t="n"/>
      <c r="G90" s="2" t="n"/>
      <c r="H90" s="2" t="n"/>
      <c r="I90" s="2" t="n"/>
      <c r="J90" s="2" t="n"/>
      <c r="K90" s="2" t="n"/>
    </row>
    <row r="91" ht="14.25" customHeight="1" s="46">
      <c r="A91" s="2" t="n"/>
      <c r="B91" s="2" t="n"/>
      <c r="C91" s="2" t="n"/>
      <c r="D91" s="2" t="n"/>
      <c r="E91" s="2" t="n"/>
      <c r="F91" s="2" t="n"/>
      <c r="G91" s="2" t="n"/>
      <c r="H91" s="2" t="n"/>
      <c r="I91" s="2" t="n"/>
      <c r="J91" s="2" t="n"/>
      <c r="K91" s="2" t="n"/>
    </row>
    <row r="92" ht="14.25" customHeight="1" s="46">
      <c r="A92" s="2" t="n"/>
      <c r="B92" s="2" t="n"/>
      <c r="C92" s="2" t="n"/>
      <c r="D92" s="2" t="n"/>
      <c r="E92" s="2" t="n"/>
      <c r="F92" s="2" t="n"/>
      <c r="G92" s="2" t="n"/>
      <c r="H92" s="2" t="n"/>
      <c r="I92" s="2" t="n"/>
      <c r="J92" s="2" t="n"/>
      <c r="K92" s="2" t="n"/>
    </row>
    <row r="93" ht="14.25" customHeight="1" s="46">
      <c r="A93" s="2" t="n"/>
      <c r="B93" s="2" t="n"/>
      <c r="C93" s="2" t="n"/>
      <c r="D93" s="2" t="n"/>
      <c r="E93" s="2" t="n"/>
      <c r="F93" s="2" t="n"/>
      <c r="G93" s="2" t="n"/>
      <c r="H93" s="2" t="n"/>
      <c r="I93" s="2" t="n"/>
      <c r="J93" s="2" t="n"/>
      <c r="K93" s="2" t="n"/>
    </row>
    <row r="94" ht="14.25" customHeight="1" s="46">
      <c r="A94" s="2" t="n"/>
      <c r="B94" s="2" t="n"/>
      <c r="C94" s="2" t="n"/>
      <c r="D94" s="2" t="n"/>
      <c r="E94" s="2" t="n"/>
      <c r="F94" s="2" t="n"/>
      <c r="G94" s="2" t="n"/>
      <c r="H94" s="2" t="n"/>
      <c r="I94" s="2" t="n"/>
      <c r="J94" s="2" t="n"/>
      <c r="K94" s="2" t="n"/>
    </row>
    <row r="95" ht="14.25" customHeight="1" s="46">
      <c r="A95" s="2" t="n"/>
      <c r="B95" s="2" t="n"/>
      <c r="C95" s="2" t="n"/>
      <c r="D95" s="2" t="n"/>
      <c r="E95" s="2" t="n"/>
      <c r="F95" s="2" t="n"/>
      <c r="G95" s="2" t="n"/>
      <c r="H95" s="2" t="n"/>
      <c r="I95" s="2" t="n"/>
      <c r="J95" s="2" t="n"/>
      <c r="K95" s="2" t="n"/>
    </row>
    <row r="96" ht="14.25" customHeight="1" s="46">
      <c r="A96" s="2" t="n"/>
      <c r="B96" s="2" t="n"/>
      <c r="C96" s="2" t="n"/>
      <c r="D96" s="2" t="n"/>
      <c r="E96" s="2" t="n"/>
      <c r="F96" s="2" t="n"/>
      <c r="G96" s="2" t="n"/>
      <c r="H96" s="2" t="n"/>
      <c r="I96" s="2" t="n"/>
      <c r="J96" s="2" t="n"/>
      <c r="K96" s="2" t="n"/>
    </row>
    <row r="97" ht="14.25" customHeight="1" s="46">
      <c r="A97" s="2" t="n"/>
      <c r="B97" s="2" t="n"/>
      <c r="C97" s="2" t="n"/>
      <c r="D97" s="2" t="n"/>
      <c r="E97" s="2" t="n"/>
      <c r="F97" s="2" t="n"/>
      <c r="G97" s="2" t="n"/>
      <c r="H97" s="2" t="n"/>
      <c r="I97" s="2" t="n"/>
      <c r="J97" s="2" t="n"/>
      <c r="K97" s="2" t="n"/>
    </row>
    <row r="98" ht="14.25" customHeight="1" s="46">
      <c r="A98" s="2" t="n"/>
      <c r="B98" s="2" t="n"/>
      <c r="C98" s="2" t="n"/>
      <c r="D98" s="2" t="n"/>
      <c r="E98" s="2" t="n"/>
      <c r="F98" s="2" t="n"/>
      <c r="G98" s="2" t="n"/>
      <c r="H98" s="2" t="n"/>
      <c r="I98" s="2" t="n"/>
      <c r="J98" s="2" t="n"/>
      <c r="K98" s="2" t="n"/>
    </row>
    <row r="99" ht="14.25" customHeight="1" s="46">
      <c r="A99" s="2" t="n"/>
      <c r="B99" s="2" t="n"/>
      <c r="C99" s="2" t="n"/>
      <c r="D99" s="2" t="n"/>
      <c r="E99" s="2" t="n"/>
      <c r="F99" s="2" t="n"/>
      <c r="G99" s="2" t="n"/>
      <c r="H99" s="2" t="n"/>
      <c r="I99" s="2" t="n"/>
      <c r="J99" s="2" t="n"/>
      <c r="K99" s="2" t="n"/>
    </row>
    <row r="100" ht="14.25" customHeight="1" s="46">
      <c r="A100" s="2" t="n"/>
      <c r="B100" s="2" t="n"/>
      <c r="C100" s="2" t="n"/>
      <c r="D100" s="2" t="n"/>
      <c r="E100" s="2" t="n"/>
      <c r="F100" s="2" t="n"/>
      <c r="G100" s="2" t="n"/>
      <c r="H100" s="2" t="n"/>
      <c r="I100" s="2" t="n"/>
      <c r="J100" s="2" t="n"/>
      <c r="K100" s="2" t="n"/>
    </row>
    <row r="101" ht="14.25" customHeight="1" s="46">
      <c r="A101" s="2" t="n"/>
      <c r="B101" s="2" t="n"/>
      <c r="C101" s="2" t="n"/>
      <c r="D101" s="2" t="n"/>
      <c r="E101" s="2" t="n"/>
      <c r="F101" s="2" t="n"/>
      <c r="G101" s="2" t="n"/>
      <c r="H101" s="2" t="n"/>
      <c r="I101" s="2" t="n"/>
      <c r="J101" s="2" t="n"/>
      <c r="K101" s="2" t="n"/>
    </row>
    <row r="102" ht="14.25" customHeight="1" s="46">
      <c r="A102" s="2" t="n"/>
      <c r="B102" s="2" t="n"/>
      <c r="C102" s="2" t="n"/>
      <c r="D102" s="2" t="n"/>
      <c r="E102" s="2" t="n"/>
      <c r="F102" s="2" t="n"/>
      <c r="G102" s="2" t="n"/>
      <c r="H102" s="2" t="n"/>
      <c r="I102" s="2" t="n"/>
      <c r="J102" s="2" t="n"/>
      <c r="K102" s="2" t="n"/>
    </row>
    <row r="103" ht="14.25" customHeight="1" s="46">
      <c r="A103" s="2" t="n"/>
      <c r="B103" s="2" t="n"/>
      <c r="C103" s="2" t="n"/>
      <c r="D103" s="2" t="n"/>
      <c r="E103" s="2" t="n"/>
      <c r="F103" s="2" t="n"/>
      <c r="G103" s="2" t="n"/>
      <c r="H103" s="2" t="n"/>
      <c r="I103" s="2" t="n"/>
      <c r="J103" s="2" t="n"/>
      <c r="K103" s="2" t="n"/>
    </row>
    <row r="104" ht="14.25" customHeight="1" s="46">
      <c r="A104" s="2" t="n"/>
      <c r="B104" s="2" t="n"/>
      <c r="C104" s="2" t="n"/>
      <c r="D104" s="2" t="n"/>
      <c r="E104" s="2" t="n"/>
      <c r="F104" s="2" t="n"/>
      <c r="G104" s="2" t="n"/>
      <c r="H104" s="2" t="n"/>
      <c r="I104" s="2" t="n"/>
      <c r="J104" s="2" t="n"/>
      <c r="K104" s="2" t="n"/>
    </row>
    <row r="105" ht="14.25" customHeight="1" s="46">
      <c r="A105" s="2" t="n"/>
      <c r="B105" s="2" t="n"/>
      <c r="C105" s="2" t="n"/>
      <c r="D105" s="2" t="n"/>
      <c r="E105" s="2" t="n"/>
      <c r="F105" s="2" t="n"/>
      <c r="G105" s="2" t="n"/>
      <c r="H105" s="2" t="n"/>
      <c r="I105" s="2" t="n"/>
      <c r="J105" s="2" t="n"/>
      <c r="K105" s="2" t="n"/>
    </row>
    <row r="106" ht="14.25" customHeight="1" s="46">
      <c r="A106" s="2" t="n"/>
      <c r="B106" s="2" t="n"/>
      <c r="C106" s="2" t="n"/>
      <c r="D106" s="2" t="n"/>
      <c r="E106" s="2" t="n"/>
      <c r="F106" s="2" t="n"/>
      <c r="G106" s="2" t="n"/>
      <c r="H106" s="2" t="n"/>
      <c r="I106" s="2" t="n"/>
      <c r="J106" s="2" t="n"/>
      <c r="K106" s="2" t="n"/>
    </row>
    <row r="107" ht="14.25" customHeight="1" s="46">
      <c r="A107" s="2" t="n"/>
      <c r="B107" s="2" t="n"/>
      <c r="C107" s="2" t="n"/>
      <c r="D107" s="2" t="n"/>
      <c r="E107" s="2" t="n"/>
      <c r="F107" s="2" t="n"/>
      <c r="G107" s="2" t="n"/>
      <c r="H107" s="2" t="n"/>
      <c r="I107" s="2" t="n"/>
      <c r="J107" s="2" t="n"/>
      <c r="K107" s="2" t="n"/>
    </row>
    <row r="108" ht="14.25" customHeight="1" s="46">
      <c r="A108" s="2" t="n"/>
      <c r="B108" s="2" t="n"/>
      <c r="C108" s="2" t="n"/>
      <c r="D108" s="2" t="n"/>
      <c r="E108" s="2" t="n"/>
      <c r="F108" s="2" t="n"/>
      <c r="G108" s="2" t="n"/>
      <c r="H108" s="2" t="n"/>
      <c r="I108" s="2" t="n"/>
      <c r="J108" s="2" t="n"/>
      <c r="K108" s="2" t="n"/>
    </row>
    <row r="109" ht="14.25" customHeight="1" s="46">
      <c r="A109" s="2" t="n"/>
      <c r="B109" s="2" t="n"/>
      <c r="C109" s="2" t="n"/>
      <c r="D109" s="2" t="n"/>
      <c r="E109" s="2" t="n"/>
      <c r="F109" s="2" t="n"/>
      <c r="G109" s="2" t="n"/>
      <c r="H109" s="2" t="n"/>
      <c r="I109" s="2" t="n"/>
      <c r="J109" s="2" t="n"/>
      <c r="K109" s="2" t="n"/>
    </row>
    <row r="110" ht="14.25" customHeight="1" s="46">
      <c r="A110" s="2" t="n"/>
      <c r="B110" s="2" t="n"/>
      <c r="C110" s="2" t="n"/>
      <c r="D110" s="2" t="n"/>
      <c r="E110" s="2" t="n"/>
      <c r="F110" s="2" t="n"/>
      <c r="G110" s="2" t="n"/>
      <c r="H110" s="2" t="n"/>
      <c r="I110" s="2" t="n"/>
      <c r="J110" s="2" t="n"/>
      <c r="K110" s="2" t="n"/>
    </row>
    <row r="111" ht="14.25" customHeight="1" s="46">
      <c r="A111" s="2" t="n"/>
      <c r="B111" s="2" t="n"/>
      <c r="C111" s="2" t="n"/>
      <c r="D111" s="2" t="n"/>
      <c r="E111" s="2" t="n"/>
      <c r="F111" s="2" t="n"/>
      <c r="G111" s="2" t="n"/>
      <c r="H111" s="2" t="n"/>
      <c r="I111" s="2" t="n"/>
      <c r="J111" s="2" t="n"/>
      <c r="K111" s="2" t="n"/>
    </row>
    <row r="112" ht="14.25" customHeight="1" s="46">
      <c r="A112" s="2" t="n"/>
      <c r="B112" s="2" t="n"/>
      <c r="C112" s="2" t="n"/>
      <c r="D112" s="2" t="n"/>
      <c r="E112" s="2" t="n"/>
      <c r="F112" s="2" t="n"/>
      <c r="G112" s="2" t="n"/>
      <c r="H112" s="2" t="n"/>
      <c r="I112" s="2" t="n"/>
      <c r="J112" s="2" t="n"/>
      <c r="K112" s="2" t="n"/>
    </row>
    <row r="113" ht="14.25" customHeight="1" s="46">
      <c r="A113" s="2" t="n"/>
      <c r="B113" s="2" t="n"/>
      <c r="C113" s="2" t="n"/>
      <c r="D113" s="2" t="n"/>
      <c r="E113" s="2" t="n"/>
      <c r="F113" s="2" t="n"/>
      <c r="G113" s="2" t="n"/>
      <c r="H113" s="2" t="n"/>
      <c r="I113" s="2" t="n"/>
      <c r="J113" s="2" t="n"/>
      <c r="K113" s="2" t="n"/>
    </row>
    <row r="114" ht="14.25" customHeight="1" s="46">
      <c r="A114" s="2" t="n"/>
      <c r="B114" s="2" t="n"/>
      <c r="C114" s="2" t="n"/>
      <c r="D114" s="2" t="n"/>
      <c r="E114" s="2" t="n"/>
      <c r="F114" s="2" t="n"/>
      <c r="G114" s="2" t="n"/>
      <c r="H114" s="2" t="n"/>
      <c r="I114" s="2" t="n"/>
      <c r="J114" s="2" t="n"/>
      <c r="K114" s="2" t="n"/>
    </row>
    <row r="115" ht="14.25" customHeight="1" s="46">
      <c r="A115" s="2" t="n"/>
      <c r="B115" s="2" t="n"/>
      <c r="C115" s="2" t="n"/>
      <c r="D115" s="2" t="n"/>
      <c r="E115" s="2" t="n"/>
      <c r="F115" s="2" t="n"/>
      <c r="G115" s="2" t="n"/>
      <c r="H115" s="2" t="n"/>
      <c r="I115" s="2" t="n"/>
      <c r="J115" s="2" t="n"/>
      <c r="K115" s="2" t="n"/>
    </row>
    <row r="116" ht="14.25" customHeight="1" s="46">
      <c r="A116" s="2" t="n"/>
      <c r="B116" s="2" t="n"/>
      <c r="C116" s="2" t="n"/>
      <c r="D116" s="2" t="n"/>
      <c r="E116" s="2" t="n"/>
      <c r="F116" s="2" t="n"/>
      <c r="G116" s="2" t="n"/>
      <c r="H116" s="2" t="n"/>
      <c r="I116" s="2" t="n"/>
      <c r="J116" s="2" t="n"/>
      <c r="K116" s="2" t="n"/>
    </row>
    <row r="117" ht="14.25" customHeight="1" s="46">
      <c r="A117" s="2" t="n"/>
      <c r="B117" s="2" t="n"/>
      <c r="C117" s="2" t="n"/>
      <c r="D117" s="2" t="n"/>
      <c r="E117" s="2" t="n"/>
      <c r="F117" s="2" t="n"/>
      <c r="G117" s="2" t="n"/>
      <c r="H117" s="2" t="n"/>
      <c r="I117" s="2" t="n"/>
      <c r="J117" s="2" t="n"/>
      <c r="K117" s="2" t="n"/>
    </row>
    <row r="118" ht="14.25" customHeight="1" s="46">
      <c r="A118" s="2" t="n"/>
      <c r="B118" s="2" t="n"/>
      <c r="C118" s="2" t="n"/>
      <c r="D118" s="2" t="n"/>
      <c r="E118" s="2" t="n"/>
      <c r="F118" s="2" t="n"/>
      <c r="G118" s="2" t="n"/>
      <c r="H118" s="2" t="n"/>
      <c r="I118" s="2" t="n"/>
      <c r="J118" s="2" t="n"/>
      <c r="K118" s="2" t="n"/>
    </row>
    <row r="119" ht="14.25" customHeight="1" s="46">
      <c r="A119" s="2" t="n"/>
      <c r="B119" s="2" t="n"/>
      <c r="C119" s="2" t="n"/>
      <c r="D119" s="2" t="n"/>
      <c r="E119" s="2" t="n"/>
      <c r="F119" s="2" t="n"/>
      <c r="G119" s="2" t="n"/>
      <c r="H119" s="2" t="n"/>
      <c r="I119" s="2" t="n"/>
      <c r="J119" s="2" t="n"/>
      <c r="K119" s="2" t="n"/>
    </row>
    <row r="120" ht="14.25" customHeight="1" s="46">
      <c r="A120" s="2" t="n"/>
      <c r="B120" s="2" t="n"/>
      <c r="C120" s="2" t="n"/>
      <c r="D120" s="2" t="n"/>
      <c r="E120" s="2" t="n"/>
      <c r="F120" s="2" t="n"/>
      <c r="G120" s="2" t="n"/>
      <c r="H120" s="2" t="n"/>
      <c r="I120" s="2" t="n"/>
      <c r="J120" s="2" t="n"/>
      <c r="K120" s="2" t="n"/>
    </row>
    <row r="121" ht="14.25" customHeight="1" s="46">
      <c r="A121" s="2" t="n"/>
      <c r="B121" s="2" t="n"/>
      <c r="C121" s="2" t="n"/>
      <c r="D121" s="2" t="n"/>
      <c r="E121" s="2" t="n"/>
      <c r="F121" s="2" t="n"/>
      <c r="G121" s="2" t="n"/>
      <c r="H121" s="2" t="n"/>
      <c r="I121" s="2" t="n"/>
      <c r="J121" s="2" t="n"/>
      <c r="K121" s="2" t="n"/>
    </row>
    <row r="122" ht="14.25" customHeight="1" s="46">
      <c r="A122" s="2" t="n"/>
      <c r="B122" s="2" t="n"/>
      <c r="C122" s="2" t="n"/>
      <c r="D122" s="2" t="n"/>
      <c r="E122" s="2" t="n"/>
      <c r="F122" s="2" t="n"/>
      <c r="G122" s="2" t="n"/>
      <c r="H122" s="2" t="n"/>
      <c r="I122" s="2" t="n"/>
      <c r="J122" s="2" t="n"/>
      <c r="K122" s="2" t="n"/>
    </row>
    <row r="123" ht="14.25" customHeight="1" s="46">
      <c r="A123" s="2" t="n"/>
      <c r="B123" s="2" t="n"/>
      <c r="C123" s="2" t="n"/>
      <c r="D123" s="2" t="n"/>
      <c r="E123" s="2" t="n"/>
      <c r="F123" s="2" t="n"/>
      <c r="G123" s="2" t="n"/>
      <c r="H123" s="2" t="n"/>
      <c r="I123" s="2" t="n"/>
      <c r="J123" s="2" t="n"/>
      <c r="K123" s="2" t="n"/>
    </row>
    <row r="124" ht="14.25" customHeight="1" s="46">
      <c r="A124" s="2" t="n"/>
      <c r="B124" s="2" t="n"/>
      <c r="C124" s="2" t="n"/>
      <c r="D124" s="2" t="n"/>
      <c r="E124" s="2" t="n"/>
      <c r="F124" s="2" t="n"/>
      <c r="G124" s="2" t="n"/>
      <c r="H124" s="2" t="n"/>
      <c r="I124" s="2" t="n"/>
      <c r="J124" s="2" t="n"/>
      <c r="K124" s="2" t="n"/>
    </row>
    <row r="125" ht="14.25" customHeight="1" s="46">
      <c r="A125" s="2" t="n"/>
      <c r="B125" s="2" t="n"/>
      <c r="C125" s="2" t="n"/>
      <c r="D125" s="2" t="n"/>
      <c r="E125" s="2" t="n"/>
      <c r="F125" s="2" t="n"/>
      <c r="G125" s="2" t="n"/>
      <c r="H125" s="2" t="n"/>
      <c r="I125" s="2" t="n"/>
      <c r="J125" s="2" t="n"/>
      <c r="K125" s="2" t="n"/>
    </row>
    <row r="126" ht="14.25" customHeight="1" s="46">
      <c r="A126" s="2" t="n"/>
      <c r="B126" s="2" t="n"/>
      <c r="C126" s="2" t="n"/>
      <c r="D126" s="2" t="n"/>
      <c r="E126" s="2" t="n"/>
      <c r="F126" s="2" t="n"/>
      <c r="G126" s="2" t="n"/>
      <c r="H126" s="2" t="n"/>
      <c r="I126" s="2" t="n"/>
      <c r="J126" s="2" t="n"/>
      <c r="K126" s="2" t="n"/>
    </row>
    <row r="127" ht="14.25" customHeight="1" s="46">
      <c r="A127" s="2" t="n"/>
      <c r="B127" s="2" t="n"/>
      <c r="C127" s="2" t="n"/>
      <c r="D127" s="2" t="n"/>
      <c r="E127" s="2" t="n"/>
      <c r="F127" s="2" t="n"/>
      <c r="G127" s="2" t="n"/>
      <c r="H127" s="2" t="n"/>
      <c r="I127" s="2" t="n"/>
      <c r="J127" s="2" t="n"/>
      <c r="K127" s="2" t="n"/>
    </row>
    <row r="128" ht="14.25" customHeight="1" s="46">
      <c r="A128" s="2" t="n"/>
      <c r="B128" s="2" t="n"/>
      <c r="C128" s="2" t="n"/>
      <c r="D128" s="2" t="n"/>
      <c r="E128" s="2" t="n"/>
      <c r="F128" s="2" t="n"/>
      <c r="G128" s="2" t="n"/>
      <c r="H128" s="2" t="n"/>
      <c r="I128" s="2" t="n"/>
      <c r="J128" s="2" t="n"/>
      <c r="K128" s="2" t="n"/>
    </row>
    <row r="129" ht="14.25" customHeight="1" s="46">
      <c r="A129" s="2" t="n"/>
      <c r="B129" s="2" t="n"/>
      <c r="C129" s="2" t="n"/>
      <c r="D129" s="2" t="n"/>
      <c r="E129" s="2" t="n"/>
      <c r="F129" s="2" t="n"/>
      <c r="G129" s="2" t="n"/>
      <c r="H129" s="2" t="n"/>
      <c r="I129" s="2" t="n"/>
      <c r="J129" s="2" t="n"/>
      <c r="K129" s="2" t="n"/>
    </row>
    <row r="130" ht="14.25" customHeight="1" s="46">
      <c r="A130" s="2" t="n"/>
      <c r="B130" s="2" t="n"/>
      <c r="C130" s="2" t="n"/>
      <c r="D130" s="2" t="n"/>
      <c r="E130" s="2" t="n"/>
      <c r="F130" s="2" t="n"/>
      <c r="G130" s="2" t="n"/>
      <c r="H130" s="2" t="n"/>
      <c r="I130" s="2" t="n"/>
      <c r="J130" s="2" t="n"/>
      <c r="K130" s="2" t="n"/>
    </row>
    <row r="131" ht="14.25" customHeight="1" s="46">
      <c r="A131" s="2" t="n"/>
      <c r="B131" s="2" t="n"/>
      <c r="C131" s="2" t="n"/>
      <c r="D131" s="2" t="n"/>
      <c r="E131" s="2" t="n"/>
      <c r="F131" s="2" t="n"/>
      <c r="G131" s="2" t="n"/>
      <c r="H131" s="2" t="n"/>
      <c r="I131" s="2" t="n"/>
      <c r="J131" s="2" t="n"/>
      <c r="K131" s="2" t="n"/>
    </row>
    <row r="132" ht="14.25" customHeight="1" s="46">
      <c r="A132" s="2" t="n"/>
      <c r="B132" s="2" t="n"/>
      <c r="C132" s="2" t="n"/>
      <c r="D132" s="2" t="n"/>
      <c r="E132" s="2" t="n"/>
      <c r="F132" s="2" t="n"/>
      <c r="G132" s="2" t="n"/>
      <c r="H132" s="2" t="n"/>
      <c r="I132" s="2" t="n"/>
      <c r="J132" s="2" t="n"/>
      <c r="K132" s="2" t="n"/>
    </row>
    <row r="133" ht="14.25" customHeight="1" s="46">
      <c r="A133" s="2" t="n"/>
      <c r="B133" s="2" t="n"/>
      <c r="C133" s="2" t="n"/>
      <c r="D133" s="2" t="n"/>
      <c r="E133" s="2" t="n"/>
      <c r="F133" s="2" t="n"/>
      <c r="G133" s="2" t="n"/>
      <c r="H133" s="2" t="n"/>
      <c r="I133" s="2" t="n"/>
      <c r="J133" s="2" t="n"/>
      <c r="K133" s="2" t="n"/>
    </row>
    <row r="134" ht="14.25" customHeight="1" s="46">
      <c r="A134" s="2" t="n"/>
      <c r="B134" s="2" t="n"/>
      <c r="C134" s="2" t="n"/>
      <c r="D134" s="2" t="n"/>
      <c r="E134" s="2" t="n"/>
      <c r="F134" s="2" t="n"/>
      <c r="G134" s="2" t="n"/>
      <c r="H134" s="2" t="n"/>
      <c r="I134" s="2" t="n"/>
      <c r="J134" s="2" t="n"/>
      <c r="K134" s="2" t="n"/>
    </row>
    <row r="135" ht="14.25" customHeight="1" s="46">
      <c r="A135" s="2" t="n"/>
      <c r="B135" s="2" t="n"/>
      <c r="C135" s="2" t="n"/>
      <c r="D135" s="2" t="n"/>
      <c r="E135" s="2" t="n"/>
      <c r="F135" s="2" t="n"/>
      <c r="G135" s="2" t="n"/>
      <c r="H135" s="2" t="n"/>
      <c r="I135" s="2" t="n"/>
      <c r="J135" s="2" t="n"/>
      <c r="K135" s="2" t="n"/>
    </row>
    <row r="136" ht="14.25" customHeight="1" s="46">
      <c r="A136" s="2" t="n"/>
      <c r="B136" s="2" t="n"/>
      <c r="C136" s="2" t="n"/>
      <c r="D136" s="2" t="n"/>
      <c r="E136" s="2" t="n"/>
      <c r="F136" s="2" t="n"/>
      <c r="G136" s="2" t="n"/>
      <c r="H136" s="2" t="n"/>
      <c r="I136" s="2" t="n"/>
      <c r="J136" s="2" t="n"/>
      <c r="K136" s="2" t="n"/>
    </row>
    <row r="137" ht="14.25" customHeight="1" s="46">
      <c r="A137" s="2" t="n"/>
      <c r="B137" s="2" t="n"/>
      <c r="C137" s="2" t="n"/>
      <c r="D137" s="2" t="n"/>
      <c r="E137" s="2" t="n"/>
      <c r="F137" s="2" t="n"/>
      <c r="G137" s="2" t="n"/>
      <c r="H137" s="2" t="n"/>
      <c r="I137" s="2" t="n"/>
      <c r="J137" s="2" t="n"/>
      <c r="K137" s="2" t="n"/>
    </row>
    <row r="138" ht="14.25" customHeight="1" s="46">
      <c r="A138" s="2" t="n"/>
      <c r="B138" s="2" t="n"/>
      <c r="C138" s="2" t="n"/>
      <c r="D138" s="2" t="n"/>
      <c r="E138" s="2" t="n"/>
      <c r="F138" s="2" t="n"/>
      <c r="G138" s="2" t="n"/>
      <c r="H138" s="2" t="n"/>
      <c r="I138" s="2" t="n"/>
      <c r="J138" s="2" t="n"/>
      <c r="K138" s="2" t="n"/>
    </row>
    <row r="139" ht="14.25" customHeight="1" s="46">
      <c r="A139" s="2" t="n"/>
      <c r="B139" s="2" t="n"/>
      <c r="C139" s="2" t="n"/>
      <c r="D139" s="2" t="n"/>
      <c r="E139" s="2" t="n"/>
      <c r="F139" s="2" t="n"/>
      <c r="G139" s="2" t="n"/>
      <c r="H139" s="2" t="n"/>
      <c r="I139" s="2" t="n"/>
      <c r="J139" s="2" t="n"/>
      <c r="K139" s="2" t="n"/>
    </row>
    <row r="140" ht="14.25" customHeight="1" s="46">
      <c r="A140" s="2" t="n"/>
      <c r="B140" s="2" t="n"/>
      <c r="C140" s="2" t="n"/>
      <c r="D140" s="2" t="n"/>
      <c r="E140" s="2" t="n"/>
      <c r="F140" s="2" t="n"/>
      <c r="G140" s="2" t="n"/>
      <c r="H140" s="2" t="n"/>
      <c r="I140" s="2" t="n"/>
      <c r="J140" s="2" t="n"/>
      <c r="K140" s="2" t="n"/>
    </row>
    <row r="141" ht="14.25" customHeight="1" s="46">
      <c r="A141" s="2" t="n"/>
      <c r="B141" s="2" t="n"/>
      <c r="C141" s="2" t="n"/>
      <c r="D141" s="2" t="n"/>
      <c r="E141" s="2" t="n"/>
      <c r="F141" s="2" t="n"/>
      <c r="G141" s="2" t="n"/>
      <c r="H141" s="2" t="n"/>
      <c r="I141" s="2" t="n"/>
      <c r="J141" s="2" t="n"/>
      <c r="K141" s="2" t="n"/>
    </row>
    <row r="142" ht="14.25" customHeight="1" s="46">
      <c r="A142" s="2" t="n"/>
      <c r="B142" s="2" t="n"/>
      <c r="C142" s="2" t="n"/>
      <c r="D142" s="2" t="n"/>
      <c r="E142" s="2" t="n"/>
      <c r="F142" s="2" t="n"/>
      <c r="G142" s="2" t="n"/>
      <c r="H142" s="2" t="n"/>
      <c r="I142" s="2" t="n"/>
      <c r="J142" s="2" t="n"/>
      <c r="K142" s="2" t="n"/>
    </row>
    <row r="143" ht="14.25" customHeight="1" s="46">
      <c r="A143" s="2" t="n"/>
      <c r="B143" s="2" t="n"/>
      <c r="C143" s="2" t="n"/>
      <c r="D143" s="2" t="n"/>
      <c r="E143" s="2" t="n"/>
      <c r="F143" s="2" t="n"/>
      <c r="G143" s="2" t="n"/>
      <c r="H143" s="2" t="n"/>
      <c r="I143" s="2" t="n"/>
      <c r="J143" s="2" t="n"/>
      <c r="K143" s="2" t="n"/>
    </row>
    <row r="144" ht="14.25" customHeight="1" s="46">
      <c r="A144" s="2" t="n"/>
      <c r="B144" s="2" t="n"/>
      <c r="C144" s="2" t="n"/>
      <c r="D144" s="2" t="n"/>
      <c r="E144" s="2" t="n"/>
      <c r="F144" s="2" t="n"/>
      <c r="G144" s="2" t="n"/>
      <c r="H144" s="2" t="n"/>
      <c r="I144" s="2" t="n"/>
      <c r="J144" s="2" t="n"/>
      <c r="K144" s="2" t="n"/>
    </row>
    <row r="145" ht="14.25" customHeight="1" s="46">
      <c r="A145" s="2" t="n"/>
      <c r="B145" s="2" t="n"/>
      <c r="C145" s="2" t="n"/>
      <c r="D145" s="2" t="n"/>
      <c r="E145" s="2" t="n"/>
      <c r="F145" s="2" t="n"/>
      <c r="G145" s="2" t="n"/>
      <c r="H145" s="2" t="n"/>
      <c r="I145" s="2" t="n"/>
      <c r="J145" s="2" t="n"/>
      <c r="K145" s="2" t="n"/>
    </row>
    <row r="146" ht="14.25" customHeight="1" s="46">
      <c r="A146" s="2" t="n"/>
      <c r="B146" s="2" t="n"/>
      <c r="C146" s="2" t="n"/>
      <c r="D146" s="2" t="n"/>
      <c r="E146" s="2" t="n"/>
      <c r="F146" s="2" t="n"/>
      <c r="G146" s="2" t="n"/>
      <c r="H146" s="2" t="n"/>
      <c r="I146" s="2" t="n"/>
      <c r="J146" s="2" t="n"/>
      <c r="K146" s="2" t="n"/>
    </row>
    <row r="147" ht="14.25" customHeight="1" s="46">
      <c r="A147" s="2" t="n"/>
      <c r="B147" s="2" t="n"/>
      <c r="C147" s="2" t="n"/>
      <c r="D147" s="2" t="n"/>
      <c r="E147" s="2" t="n"/>
      <c r="F147" s="2" t="n"/>
      <c r="G147" s="2" t="n"/>
      <c r="H147" s="2" t="n"/>
      <c r="I147" s="2" t="n"/>
      <c r="J147" s="2" t="n"/>
      <c r="K147" s="2" t="n"/>
    </row>
    <row r="148" ht="14.25" customHeight="1" s="46">
      <c r="A148" s="2" t="n"/>
      <c r="B148" s="2" t="n"/>
      <c r="C148" s="2" t="n"/>
      <c r="D148" s="2" t="n"/>
      <c r="E148" s="2" t="n"/>
      <c r="F148" s="2" t="n"/>
      <c r="G148" s="2" t="n"/>
      <c r="H148" s="2" t="n"/>
      <c r="I148" s="2" t="n"/>
      <c r="J148" s="2" t="n"/>
      <c r="K148" s="2" t="n"/>
    </row>
    <row r="149" ht="14.25" customHeight="1" s="46">
      <c r="A149" s="2" t="n"/>
      <c r="B149" s="2" t="n"/>
      <c r="C149" s="2" t="n"/>
      <c r="D149" s="2" t="n"/>
      <c r="E149" s="2" t="n"/>
      <c r="F149" s="2" t="n"/>
      <c r="G149" s="2" t="n"/>
      <c r="H149" s="2" t="n"/>
      <c r="I149" s="2" t="n"/>
      <c r="J149" s="2" t="n"/>
      <c r="K149" s="2" t="n"/>
    </row>
    <row r="150" ht="14.25" customHeight="1" s="46">
      <c r="A150" s="2" t="n"/>
      <c r="B150" s="2" t="n"/>
      <c r="C150" s="2" t="n"/>
      <c r="D150" s="2" t="n"/>
      <c r="E150" s="2" t="n"/>
      <c r="F150" s="2" t="n"/>
      <c r="G150" s="2" t="n"/>
      <c r="H150" s="2" t="n"/>
      <c r="I150" s="2" t="n"/>
      <c r="J150" s="2" t="n"/>
      <c r="K150" s="2" t="n"/>
    </row>
    <row r="151" ht="14.25" customHeight="1" s="46">
      <c r="A151" s="2" t="n"/>
      <c r="B151" s="2" t="n"/>
      <c r="C151" s="2" t="n"/>
      <c r="D151" s="2" t="n"/>
      <c r="E151" s="2" t="n"/>
      <c r="F151" s="2" t="n"/>
      <c r="G151" s="2" t="n"/>
      <c r="H151" s="2" t="n"/>
      <c r="I151" s="2" t="n"/>
      <c r="J151" s="2" t="n"/>
      <c r="K151" s="2" t="n"/>
    </row>
    <row r="152" ht="14.25" customHeight="1" s="46">
      <c r="A152" s="2" t="n"/>
      <c r="B152" s="2" t="n"/>
      <c r="C152" s="2" t="n"/>
      <c r="D152" s="2" t="n"/>
      <c r="E152" s="2" t="n"/>
      <c r="F152" s="2" t="n"/>
      <c r="G152" s="2" t="n"/>
      <c r="H152" s="2" t="n"/>
      <c r="I152" s="2" t="n"/>
      <c r="J152" s="2" t="n"/>
      <c r="K152" s="2" t="n"/>
    </row>
    <row r="153" ht="14.25" customHeight="1" s="46">
      <c r="A153" s="2" t="n"/>
      <c r="B153" s="2" t="n"/>
      <c r="C153" s="2" t="n"/>
      <c r="D153" s="2" t="n"/>
      <c r="E153" s="2" t="n"/>
      <c r="F153" s="2" t="n"/>
      <c r="G153" s="2" t="n"/>
      <c r="H153" s="2" t="n"/>
      <c r="I153" s="2" t="n"/>
      <c r="J153" s="2" t="n"/>
      <c r="K153" s="2" t="n"/>
    </row>
    <row r="154" ht="14.25" customHeight="1" s="46">
      <c r="A154" s="2" t="n"/>
      <c r="B154" s="2" t="n"/>
      <c r="C154" s="2" t="n"/>
      <c r="D154" s="2" t="n"/>
      <c r="E154" s="2" t="n"/>
      <c r="F154" s="2" t="n"/>
      <c r="G154" s="2" t="n"/>
      <c r="H154" s="2" t="n"/>
      <c r="I154" s="2" t="n"/>
      <c r="J154" s="2" t="n"/>
      <c r="K154" s="2" t="n"/>
    </row>
    <row r="155" ht="14.25" customHeight="1" s="46">
      <c r="A155" s="2" t="n"/>
      <c r="B155" s="2" t="n"/>
      <c r="C155" s="2" t="n"/>
      <c r="D155" s="2" t="n"/>
      <c r="E155" s="2" t="n"/>
      <c r="F155" s="2" t="n"/>
      <c r="G155" s="2" t="n"/>
      <c r="H155" s="2" t="n"/>
      <c r="I155" s="2" t="n"/>
      <c r="J155" s="2" t="n"/>
      <c r="K155" s="2" t="n"/>
    </row>
    <row r="156" ht="14.25" customHeight="1" s="46">
      <c r="A156" s="2" t="n"/>
      <c r="B156" s="2" t="n"/>
      <c r="C156" s="2" t="n"/>
      <c r="D156" s="2" t="n"/>
      <c r="E156" s="2" t="n"/>
      <c r="F156" s="2" t="n"/>
      <c r="G156" s="2" t="n"/>
      <c r="H156" s="2" t="n"/>
      <c r="I156" s="2" t="n"/>
      <c r="J156" s="2" t="n"/>
      <c r="K156" s="2" t="n"/>
    </row>
    <row r="157" ht="14.25" customHeight="1" s="46">
      <c r="A157" s="2" t="n"/>
      <c r="B157" s="2" t="n"/>
      <c r="C157" s="2" t="n"/>
      <c r="D157" s="2" t="n"/>
      <c r="E157" s="2" t="n"/>
      <c r="F157" s="2" t="n"/>
      <c r="G157" s="2" t="n"/>
      <c r="H157" s="2" t="n"/>
      <c r="I157" s="2" t="n"/>
      <c r="J157" s="2" t="n"/>
      <c r="K157" s="2" t="n"/>
    </row>
    <row r="158" ht="14.25" customHeight="1" s="46">
      <c r="A158" s="2" t="n"/>
      <c r="B158" s="2" t="n"/>
      <c r="C158" s="2" t="n"/>
      <c r="D158" s="2" t="n"/>
      <c r="E158" s="2" t="n"/>
      <c r="F158" s="2" t="n"/>
      <c r="G158" s="2" t="n"/>
      <c r="H158" s="2" t="n"/>
      <c r="I158" s="2" t="n"/>
      <c r="J158" s="2" t="n"/>
      <c r="K158" s="2" t="n"/>
    </row>
    <row r="159" ht="14.25" customHeight="1" s="46">
      <c r="A159" s="2" t="n"/>
      <c r="B159" s="2" t="n"/>
      <c r="C159" s="2" t="n"/>
      <c r="D159" s="2" t="n"/>
      <c r="E159" s="2" t="n"/>
      <c r="F159" s="2" t="n"/>
      <c r="G159" s="2" t="n"/>
      <c r="H159" s="2" t="n"/>
      <c r="I159" s="2" t="n"/>
      <c r="J159" s="2" t="n"/>
      <c r="K159" s="2" t="n"/>
    </row>
    <row r="160" ht="14.25" customHeight="1" s="46">
      <c r="A160" s="2" t="n"/>
      <c r="B160" s="2" t="n"/>
      <c r="C160" s="2" t="n"/>
      <c r="D160" s="2" t="n"/>
      <c r="E160" s="2" t="n"/>
      <c r="F160" s="2" t="n"/>
      <c r="G160" s="2" t="n"/>
      <c r="H160" s="2" t="n"/>
      <c r="I160" s="2" t="n"/>
      <c r="J160" s="2" t="n"/>
      <c r="K160" s="2" t="n"/>
    </row>
    <row r="161" ht="14.25" customHeight="1" s="46">
      <c r="A161" s="2" t="n"/>
      <c r="B161" s="2" t="n"/>
      <c r="C161" s="2" t="n"/>
      <c r="D161" s="2" t="n"/>
      <c r="E161" s="2" t="n"/>
      <c r="F161" s="2" t="n"/>
      <c r="G161" s="2" t="n"/>
      <c r="H161" s="2" t="n"/>
      <c r="I161" s="2" t="n"/>
      <c r="J161" s="2" t="n"/>
      <c r="K161" s="2" t="n"/>
    </row>
    <row r="162" ht="14.25" customHeight="1" s="46">
      <c r="A162" s="2" t="n"/>
      <c r="B162" s="2" t="n"/>
      <c r="C162" s="2" t="n"/>
      <c r="D162" s="2" t="n"/>
      <c r="E162" s="2" t="n"/>
      <c r="F162" s="2" t="n"/>
      <c r="G162" s="2" t="n"/>
      <c r="H162" s="2" t="n"/>
      <c r="I162" s="2" t="n"/>
      <c r="J162" s="2" t="n"/>
      <c r="K162" s="2" t="n"/>
    </row>
    <row r="163" ht="14.25" customHeight="1" s="46">
      <c r="A163" s="2" t="n"/>
      <c r="B163" s="2" t="n"/>
      <c r="C163" s="2" t="n"/>
      <c r="D163" s="2" t="n"/>
      <c r="E163" s="2" t="n"/>
      <c r="F163" s="2" t="n"/>
      <c r="G163" s="2" t="n"/>
      <c r="H163" s="2" t="n"/>
      <c r="I163" s="2" t="n"/>
      <c r="J163" s="2" t="n"/>
      <c r="K163" s="2" t="n"/>
    </row>
    <row r="164" ht="14.25" customHeight="1" s="46">
      <c r="A164" s="2" t="n"/>
      <c r="B164" s="2" t="n"/>
      <c r="C164" s="2" t="n"/>
      <c r="D164" s="2" t="n"/>
      <c r="E164" s="2" t="n"/>
      <c r="F164" s="2" t="n"/>
      <c r="G164" s="2" t="n"/>
      <c r="H164" s="2" t="n"/>
      <c r="I164" s="2" t="n"/>
      <c r="J164" s="2" t="n"/>
      <c r="K164" s="2" t="n"/>
    </row>
    <row r="165" ht="14.25" customHeight="1" s="46">
      <c r="A165" s="2" t="n"/>
      <c r="B165" s="2" t="n"/>
      <c r="C165" s="2" t="n"/>
      <c r="D165" s="2" t="n"/>
      <c r="E165" s="2" t="n"/>
      <c r="F165" s="2" t="n"/>
      <c r="G165" s="2" t="n"/>
      <c r="H165" s="2" t="n"/>
      <c r="I165" s="2" t="n"/>
      <c r="J165" s="2" t="n"/>
      <c r="K165" s="2" t="n"/>
    </row>
    <row r="166" ht="14.25" customHeight="1" s="46">
      <c r="A166" s="2" t="n"/>
      <c r="B166" s="2" t="n"/>
      <c r="C166" s="2" t="n"/>
      <c r="D166" s="2" t="n"/>
      <c r="E166" s="2" t="n"/>
      <c r="F166" s="2" t="n"/>
      <c r="G166" s="2" t="n"/>
      <c r="H166" s="2" t="n"/>
      <c r="I166" s="2" t="n"/>
      <c r="J166" s="2" t="n"/>
      <c r="K166" s="2" t="n"/>
    </row>
    <row r="167" ht="14.25" customHeight="1" s="46">
      <c r="A167" s="2" t="n"/>
      <c r="B167" s="2" t="n"/>
      <c r="C167" s="2" t="n"/>
      <c r="D167" s="2" t="n"/>
      <c r="E167" s="2" t="n"/>
      <c r="F167" s="2" t="n"/>
      <c r="G167" s="2" t="n"/>
      <c r="H167" s="2" t="n"/>
      <c r="I167" s="2" t="n"/>
      <c r="J167" s="2" t="n"/>
      <c r="K167" s="2" t="n"/>
    </row>
    <row r="168" ht="14.25" customHeight="1" s="46">
      <c r="A168" s="2" t="n"/>
      <c r="B168" s="2" t="n"/>
      <c r="C168" s="2" t="n"/>
      <c r="D168" s="2" t="n"/>
      <c r="E168" s="2" t="n"/>
      <c r="F168" s="2" t="n"/>
      <c r="G168" s="2" t="n"/>
      <c r="H168" s="2" t="n"/>
      <c r="I168" s="2" t="n"/>
      <c r="J168" s="2" t="n"/>
      <c r="K168" s="2" t="n"/>
    </row>
    <row r="169" ht="14.25" customHeight="1" s="46">
      <c r="A169" s="2" t="n"/>
      <c r="B169" s="2" t="n"/>
      <c r="C169" s="2" t="n"/>
      <c r="D169" s="2" t="n"/>
      <c r="E169" s="2" t="n"/>
      <c r="F169" s="2" t="n"/>
      <c r="G169" s="2" t="n"/>
      <c r="H169" s="2" t="n"/>
      <c r="I169" s="2" t="n"/>
      <c r="J169" s="2" t="n"/>
      <c r="K169" s="2" t="n"/>
    </row>
    <row r="170" ht="14.25" customHeight="1" s="46">
      <c r="A170" s="2" t="n"/>
      <c r="B170" s="2" t="n"/>
      <c r="C170" s="2" t="n"/>
      <c r="D170" s="2" t="n"/>
      <c r="E170" s="2" t="n"/>
      <c r="F170" s="2" t="n"/>
      <c r="G170" s="2" t="n"/>
      <c r="H170" s="2" t="n"/>
      <c r="I170" s="2" t="n"/>
      <c r="J170" s="2" t="n"/>
      <c r="K170" s="2" t="n"/>
    </row>
    <row r="171" ht="14.25" customHeight="1" s="46">
      <c r="A171" s="2" t="n"/>
      <c r="B171" s="2" t="n"/>
      <c r="C171" s="2" t="n"/>
      <c r="D171" s="2" t="n"/>
      <c r="E171" s="2" t="n"/>
      <c r="F171" s="2" t="n"/>
      <c r="G171" s="2" t="n"/>
      <c r="H171" s="2" t="n"/>
      <c r="I171" s="2" t="n"/>
      <c r="J171" s="2" t="n"/>
      <c r="K171" s="2" t="n"/>
    </row>
    <row r="172" ht="14.25" customHeight="1" s="46">
      <c r="A172" s="2" t="n"/>
      <c r="B172" s="2" t="n"/>
      <c r="C172" s="2" t="n"/>
      <c r="D172" s="2" t="n"/>
      <c r="E172" s="2" t="n"/>
      <c r="F172" s="2" t="n"/>
      <c r="G172" s="2" t="n"/>
      <c r="H172" s="2" t="n"/>
      <c r="I172" s="2" t="n"/>
      <c r="J172" s="2" t="n"/>
      <c r="K172" s="2" t="n"/>
    </row>
    <row r="173" ht="14.25" customHeight="1" s="46">
      <c r="A173" s="2" t="n"/>
      <c r="B173" s="2" t="n"/>
      <c r="C173" s="2" t="n"/>
      <c r="D173" s="2" t="n"/>
      <c r="E173" s="2" t="n"/>
      <c r="F173" s="2" t="n"/>
      <c r="G173" s="2" t="n"/>
      <c r="H173" s="2" t="n"/>
      <c r="I173" s="2" t="n"/>
      <c r="J173" s="2" t="n"/>
      <c r="K173" s="2" t="n"/>
    </row>
    <row r="174" ht="14.25" customHeight="1" s="46">
      <c r="A174" s="2" t="n"/>
      <c r="B174" s="2" t="n"/>
      <c r="C174" s="2" t="n"/>
      <c r="D174" s="2" t="n"/>
      <c r="E174" s="2" t="n"/>
      <c r="F174" s="2" t="n"/>
      <c r="G174" s="2" t="n"/>
      <c r="H174" s="2" t="n"/>
      <c r="I174" s="2" t="n"/>
      <c r="J174" s="2" t="n"/>
      <c r="K174" s="2" t="n"/>
    </row>
    <row r="175" ht="14.25" customHeight="1" s="46">
      <c r="A175" s="2" t="n"/>
      <c r="B175" s="2" t="n"/>
      <c r="C175" s="2" t="n"/>
      <c r="D175" s="2" t="n"/>
      <c r="E175" s="2" t="n"/>
      <c r="F175" s="2" t="n"/>
      <c r="G175" s="2" t="n"/>
      <c r="H175" s="2" t="n"/>
      <c r="I175" s="2" t="n"/>
      <c r="J175" s="2" t="n"/>
      <c r="K175" s="2" t="n"/>
    </row>
    <row r="176" ht="14.25" customHeight="1" s="46">
      <c r="A176" s="2" t="n"/>
      <c r="B176" s="2" t="n"/>
      <c r="C176" s="2" t="n"/>
      <c r="D176" s="2" t="n"/>
      <c r="E176" s="2" t="n"/>
      <c r="F176" s="2" t="n"/>
      <c r="G176" s="2" t="n"/>
      <c r="H176" s="2" t="n"/>
      <c r="I176" s="2" t="n"/>
      <c r="J176" s="2" t="n"/>
      <c r="K176" s="2" t="n"/>
    </row>
    <row r="177" ht="14.25" customHeight="1" s="46">
      <c r="A177" s="2" t="n"/>
      <c r="B177" s="2" t="n"/>
      <c r="C177" s="2" t="n"/>
      <c r="D177" s="2" t="n"/>
      <c r="E177" s="2" t="n"/>
      <c r="F177" s="2" t="n"/>
      <c r="G177" s="2" t="n"/>
      <c r="H177" s="2" t="n"/>
      <c r="I177" s="2" t="n"/>
      <c r="J177" s="2" t="n"/>
      <c r="K177" s="2" t="n"/>
    </row>
    <row r="178" ht="14.25" customHeight="1" s="46">
      <c r="A178" s="2" t="n"/>
      <c r="B178" s="2" t="n"/>
      <c r="C178" s="2" t="n"/>
      <c r="D178" s="2" t="n"/>
      <c r="E178" s="2" t="n"/>
      <c r="F178" s="2" t="n"/>
      <c r="G178" s="2" t="n"/>
      <c r="H178" s="2" t="n"/>
      <c r="I178" s="2" t="n"/>
      <c r="J178" s="2" t="n"/>
      <c r="K178" s="2" t="n"/>
    </row>
    <row r="179" ht="14.25" customHeight="1" s="46">
      <c r="A179" s="2" t="n"/>
      <c r="B179" s="2" t="n"/>
      <c r="C179" s="2" t="n"/>
      <c r="D179" s="2" t="n"/>
      <c r="E179" s="2" t="n"/>
      <c r="F179" s="2" t="n"/>
      <c r="G179" s="2" t="n"/>
      <c r="H179" s="2" t="n"/>
      <c r="I179" s="2" t="n"/>
      <c r="J179" s="2" t="n"/>
      <c r="K179" s="2" t="n"/>
    </row>
    <row r="180" ht="14.25" customHeight="1" s="46">
      <c r="A180" s="2" t="n"/>
      <c r="B180" s="2" t="n"/>
      <c r="C180" s="2" t="n"/>
      <c r="D180" s="2" t="n"/>
      <c r="E180" s="2" t="n"/>
      <c r="F180" s="2" t="n"/>
      <c r="G180" s="2" t="n"/>
      <c r="H180" s="2" t="n"/>
      <c r="I180" s="2" t="n"/>
      <c r="J180" s="2" t="n"/>
      <c r="K180" s="2" t="n"/>
    </row>
    <row r="181" ht="14.25" customHeight="1" s="46">
      <c r="A181" s="2" t="n"/>
      <c r="B181" s="2" t="n"/>
      <c r="C181" s="2" t="n"/>
      <c r="D181" s="2" t="n"/>
      <c r="E181" s="2" t="n"/>
      <c r="F181" s="2" t="n"/>
      <c r="G181" s="2" t="n"/>
      <c r="H181" s="2" t="n"/>
      <c r="I181" s="2" t="n"/>
      <c r="J181" s="2" t="n"/>
      <c r="K181" s="2" t="n"/>
    </row>
    <row r="182" ht="14.25" customHeight="1" s="46">
      <c r="A182" s="2" t="n"/>
      <c r="B182" s="2" t="n"/>
      <c r="C182" s="2" t="n"/>
      <c r="D182" s="2" t="n"/>
      <c r="E182" s="2" t="n"/>
      <c r="F182" s="2" t="n"/>
      <c r="G182" s="2" t="n"/>
      <c r="H182" s="2" t="n"/>
      <c r="I182" s="2" t="n"/>
      <c r="J182" s="2" t="n"/>
      <c r="K182" s="2" t="n"/>
    </row>
    <row r="183" ht="14.25" customHeight="1" s="46">
      <c r="A183" s="2" t="n"/>
      <c r="B183" s="2" t="n"/>
      <c r="C183" s="2" t="n"/>
      <c r="D183" s="2" t="n"/>
      <c r="E183" s="2" t="n"/>
      <c r="F183" s="2" t="n"/>
      <c r="G183" s="2" t="n"/>
      <c r="H183" s="2" t="n"/>
      <c r="I183" s="2" t="n"/>
      <c r="J183" s="2" t="n"/>
      <c r="K183" s="2" t="n"/>
    </row>
    <row r="184" ht="14.25" customHeight="1" s="46">
      <c r="A184" s="2" t="n"/>
      <c r="B184" s="2" t="n"/>
      <c r="C184" s="2" t="n"/>
      <c r="D184" s="2" t="n"/>
      <c r="E184" s="2" t="n"/>
      <c r="F184" s="2" t="n"/>
      <c r="G184" s="2" t="n"/>
      <c r="H184" s="2" t="n"/>
      <c r="I184" s="2" t="n"/>
      <c r="J184" s="2" t="n"/>
      <c r="K184" s="2" t="n"/>
    </row>
    <row r="185" ht="14.25" customHeight="1" s="46">
      <c r="A185" s="2" t="n"/>
      <c r="B185" s="2" t="n"/>
      <c r="C185" s="2" t="n"/>
      <c r="D185" s="2" t="n"/>
      <c r="E185" s="2" t="n"/>
      <c r="F185" s="2" t="n"/>
      <c r="G185" s="2" t="n"/>
      <c r="H185" s="2" t="n"/>
      <c r="I185" s="2" t="n"/>
      <c r="J185" s="2" t="n"/>
      <c r="K185" s="2" t="n"/>
    </row>
    <row r="186" ht="14.25" customHeight="1" s="46">
      <c r="A186" s="2" t="n"/>
      <c r="B186" s="2" t="n"/>
      <c r="C186" s="2" t="n"/>
      <c r="D186" s="2" t="n"/>
      <c r="E186" s="2" t="n"/>
      <c r="F186" s="2" t="n"/>
      <c r="G186" s="2" t="n"/>
      <c r="H186" s="2" t="n"/>
      <c r="I186" s="2" t="n"/>
      <c r="J186" s="2" t="n"/>
      <c r="K186" s="2" t="n"/>
    </row>
    <row r="187" ht="14.25" customHeight="1" s="46">
      <c r="A187" s="2" t="n"/>
      <c r="B187" s="2" t="n"/>
      <c r="C187" s="2" t="n"/>
      <c r="D187" s="2" t="n"/>
      <c r="E187" s="2" t="n"/>
      <c r="F187" s="2" t="n"/>
      <c r="G187" s="2" t="n"/>
      <c r="H187" s="2" t="n"/>
      <c r="I187" s="2" t="n"/>
      <c r="J187" s="2" t="n"/>
      <c r="K187" s="2" t="n"/>
    </row>
    <row r="188" ht="14.25" customHeight="1" s="46">
      <c r="A188" s="2" t="n"/>
      <c r="B188" s="2" t="n"/>
      <c r="C188" s="2" t="n"/>
      <c r="D188" s="2" t="n"/>
      <c r="E188" s="2" t="n"/>
      <c r="F188" s="2" t="n"/>
      <c r="G188" s="2" t="n"/>
      <c r="H188" s="2" t="n"/>
      <c r="I188" s="2" t="n"/>
      <c r="J188" s="2" t="n"/>
      <c r="K188" s="2" t="n"/>
    </row>
    <row r="189" ht="14.25" customHeight="1" s="46">
      <c r="A189" s="2" t="n"/>
      <c r="B189" s="2" t="n"/>
      <c r="C189" s="2" t="n"/>
      <c r="D189" s="2" t="n"/>
      <c r="E189" s="2" t="n"/>
      <c r="F189" s="2" t="n"/>
      <c r="G189" s="2" t="n"/>
      <c r="H189" s="2" t="n"/>
      <c r="I189" s="2" t="n"/>
      <c r="J189" s="2" t="n"/>
      <c r="K189" s="2" t="n"/>
    </row>
    <row r="190" ht="14.25" customHeight="1" s="46">
      <c r="A190" s="2" t="n"/>
      <c r="B190" s="2" t="n"/>
      <c r="C190" s="2" t="n"/>
      <c r="D190" s="2" t="n"/>
      <c r="E190" s="2" t="n"/>
      <c r="F190" s="2" t="n"/>
      <c r="G190" s="2" t="n"/>
      <c r="H190" s="2" t="n"/>
      <c r="I190" s="2" t="n"/>
      <c r="J190" s="2" t="n"/>
      <c r="K190" s="2" t="n"/>
    </row>
    <row r="191" ht="14.25" customHeight="1" s="46">
      <c r="A191" s="2" t="n"/>
      <c r="B191" s="2" t="n"/>
      <c r="C191" s="2" t="n"/>
      <c r="D191" s="2" t="n"/>
      <c r="E191" s="2" t="n"/>
      <c r="F191" s="2" t="n"/>
      <c r="G191" s="2" t="n"/>
      <c r="H191" s="2" t="n"/>
      <c r="I191" s="2" t="n"/>
      <c r="J191" s="2" t="n"/>
      <c r="K191" s="2" t="n"/>
    </row>
    <row r="192" ht="14.25" customHeight="1" s="46">
      <c r="A192" s="2" t="n"/>
      <c r="B192" s="2" t="n"/>
      <c r="C192" s="2" t="n"/>
      <c r="D192" s="2" t="n"/>
      <c r="E192" s="2" t="n"/>
      <c r="F192" s="2" t="n"/>
      <c r="G192" s="2" t="n"/>
      <c r="H192" s="2" t="n"/>
      <c r="I192" s="2" t="n"/>
      <c r="J192" s="2" t="n"/>
      <c r="K192" s="2" t="n"/>
    </row>
    <row r="193" ht="14.25" customHeight="1" s="46">
      <c r="A193" s="2" t="n"/>
      <c r="B193" s="2" t="n"/>
      <c r="C193" s="2" t="n"/>
      <c r="D193" s="2" t="n"/>
      <c r="E193" s="2" t="n"/>
      <c r="F193" s="2" t="n"/>
      <c r="G193" s="2" t="n"/>
      <c r="H193" s="2" t="n"/>
      <c r="I193" s="2" t="n"/>
      <c r="J193" s="2" t="n"/>
      <c r="K193" s="2" t="n"/>
    </row>
    <row r="194" ht="14.25" customHeight="1" s="46">
      <c r="A194" s="2" t="n"/>
      <c r="B194" s="2" t="n"/>
      <c r="C194" s="2" t="n"/>
      <c r="D194" s="2" t="n"/>
      <c r="E194" s="2" t="n"/>
      <c r="F194" s="2" t="n"/>
      <c r="G194" s="2" t="n"/>
      <c r="H194" s="2" t="n"/>
      <c r="I194" s="2" t="n"/>
      <c r="J194" s="2" t="n"/>
      <c r="K194" s="2" t="n"/>
    </row>
    <row r="195" ht="14.25" customHeight="1" s="46">
      <c r="A195" s="2" t="n"/>
      <c r="B195" s="2" t="n"/>
      <c r="C195" s="2" t="n"/>
      <c r="D195" s="2" t="n"/>
      <c r="E195" s="2" t="n"/>
      <c r="F195" s="2" t="n"/>
      <c r="G195" s="2" t="n"/>
      <c r="H195" s="2" t="n"/>
      <c r="I195" s="2" t="n"/>
      <c r="J195" s="2" t="n"/>
      <c r="K195" s="2" t="n"/>
    </row>
    <row r="196" ht="14.25" customHeight="1" s="46">
      <c r="A196" s="2" t="n"/>
      <c r="B196" s="2" t="n"/>
      <c r="C196" s="2" t="n"/>
      <c r="D196" s="2" t="n"/>
      <c r="E196" s="2" t="n"/>
      <c r="F196" s="2" t="n"/>
      <c r="G196" s="2" t="n"/>
      <c r="H196" s="2" t="n"/>
      <c r="I196" s="2" t="n"/>
      <c r="J196" s="2" t="n"/>
      <c r="K196" s="2" t="n"/>
    </row>
    <row r="197" ht="14.25" customHeight="1" s="46">
      <c r="A197" s="2" t="n"/>
      <c r="B197" s="2" t="n"/>
      <c r="C197" s="2" t="n"/>
      <c r="D197" s="2" t="n"/>
      <c r="E197" s="2" t="n"/>
      <c r="F197" s="2" t="n"/>
      <c r="G197" s="2" t="n"/>
      <c r="H197" s="2" t="n"/>
      <c r="I197" s="2" t="n"/>
      <c r="J197" s="2" t="n"/>
      <c r="K197" s="2" t="n"/>
    </row>
    <row r="198" ht="14.25" customHeight="1" s="46">
      <c r="A198" s="2" t="n"/>
      <c r="B198" s="2" t="n"/>
      <c r="C198" s="2" t="n"/>
      <c r="D198" s="2" t="n"/>
      <c r="E198" s="2" t="n"/>
      <c r="F198" s="2" t="n"/>
      <c r="G198" s="2" t="n"/>
      <c r="H198" s="2" t="n"/>
      <c r="I198" s="2" t="n"/>
      <c r="J198" s="2" t="n"/>
      <c r="K198" s="2" t="n"/>
    </row>
    <row r="199" ht="14.25" customHeight="1" s="46">
      <c r="A199" s="2" t="n"/>
      <c r="B199" s="2" t="n"/>
      <c r="C199" s="2" t="n"/>
      <c r="D199" s="2" t="n"/>
      <c r="E199" s="2" t="n"/>
      <c r="F199" s="2" t="n"/>
      <c r="G199" s="2" t="n"/>
      <c r="H199" s="2" t="n"/>
      <c r="I199" s="2" t="n"/>
      <c r="J199" s="2" t="n"/>
      <c r="K199" s="2" t="n"/>
    </row>
    <row r="200" ht="14.25" customHeight="1" s="46">
      <c r="A200" s="2" t="n"/>
      <c r="B200" s="2" t="n"/>
      <c r="C200" s="2" t="n"/>
      <c r="D200" s="2" t="n"/>
      <c r="E200" s="2" t="n"/>
      <c r="F200" s="2" t="n"/>
      <c r="G200" s="2" t="n"/>
      <c r="H200" s="2" t="n"/>
      <c r="I200" s="2" t="n"/>
      <c r="J200" s="2" t="n"/>
      <c r="K200" s="2" t="n"/>
    </row>
    <row r="201" ht="14.25" customHeight="1" s="46">
      <c r="A201" s="2" t="n"/>
      <c r="B201" s="2" t="n"/>
      <c r="C201" s="2" t="n"/>
      <c r="D201" s="2" t="n"/>
      <c r="E201" s="2" t="n"/>
      <c r="F201" s="2" t="n"/>
      <c r="G201" s="2" t="n"/>
      <c r="H201" s="2" t="n"/>
      <c r="I201" s="2" t="n"/>
      <c r="J201" s="2" t="n"/>
      <c r="K201" s="2" t="n"/>
    </row>
    <row r="202" ht="14.25" customHeight="1" s="46">
      <c r="A202" s="2" t="n"/>
      <c r="B202" s="2" t="n"/>
      <c r="C202" s="2" t="n"/>
      <c r="D202" s="2" t="n"/>
      <c r="E202" s="2" t="n"/>
      <c r="F202" s="2" t="n"/>
      <c r="G202" s="2" t="n"/>
      <c r="H202" s="2" t="n"/>
      <c r="I202" s="2" t="n"/>
      <c r="J202" s="2" t="n"/>
      <c r="K202" s="2" t="n"/>
    </row>
    <row r="203" ht="14.25" customHeight="1" s="46">
      <c r="A203" s="2" t="n"/>
      <c r="B203" s="2" t="n"/>
      <c r="C203" s="2" t="n"/>
      <c r="D203" s="2" t="n"/>
      <c r="E203" s="2" t="n"/>
      <c r="F203" s="2" t="n"/>
      <c r="G203" s="2" t="n"/>
      <c r="H203" s="2" t="n"/>
      <c r="I203" s="2" t="n"/>
      <c r="J203" s="2" t="n"/>
      <c r="K203" s="2" t="n"/>
    </row>
    <row r="204" ht="14.25" customHeight="1" s="46">
      <c r="A204" s="2" t="n"/>
      <c r="B204" s="2" t="n"/>
      <c r="C204" s="2" t="n"/>
      <c r="D204" s="2" t="n"/>
      <c r="E204" s="2" t="n"/>
      <c r="F204" s="2" t="n"/>
      <c r="G204" s="2" t="n"/>
      <c r="H204" s="2" t="n"/>
      <c r="I204" s="2" t="n"/>
      <c r="J204" s="2" t="n"/>
      <c r="K204" s="2" t="n"/>
    </row>
    <row r="205" ht="14.25" customHeight="1" s="46">
      <c r="A205" s="2" t="n"/>
      <c r="B205" s="2" t="n"/>
      <c r="C205" s="2" t="n"/>
      <c r="D205" s="2" t="n"/>
      <c r="E205" s="2" t="n"/>
      <c r="F205" s="2" t="n"/>
      <c r="G205" s="2" t="n"/>
      <c r="H205" s="2" t="n"/>
      <c r="I205" s="2" t="n"/>
      <c r="J205" s="2" t="n"/>
      <c r="K205" s="2" t="n"/>
    </row>
    <row r="206" ht="14.25" customHeight="1" s="46">
      <c r="A206" s="2" t="n"/>
      <c r="B206" s="2" t="n"/>
      <c r="C206" s="2" t="n"/>
      <c r="D206" s="2" t="n"/>
      <c r="E206" s="2" t="n"/>
      <c r="F206" s="2" t="n"/>
      <c r="G206" s="2" t="n"/>
      <c r="H206" s="2" t="n"/>
      <c r="I206" s="2" t="n"/>
      <c r="J206" s="2" t="n"/>
      <c r="K206" s="2" t="n"/>
    </row>
    <row r="207" ht="14.25" customHeight="1" s="46">
      <c r="A207" s="2" t="n"/>
      <c r="B207" s="2" t="n"/>
      <c r="C207" s="2" t="n"/>
      <c r="D207" s="2" t="n"/>
      <c r="E207" s="2" t="n"/>
      <c r="F207" s="2" t="n"/>
      <c r="G207" s="2" t="n"/>
      <c r="H207" s="2" t="n"/>
      <c r="I207" s="2" t="n"/>
      <c r="J207" s="2" t="n"/>
      <c r="K207" s="2" t="n"/>
    </row>
    <row r="208" ht="14.25" customHeight="1" s="46">
      <c r="A208" s="2" t="n"/>
      <c r="B208" s="2" t="n"/>
      <c r="C208" s="2" t="n"/>
      <c r="D208" s="2" t="n"/>
      <c r="E208" s="2" t="n"/>
      <c r="F208" s="2" t="n"/>
      <c r="G208" s="2" t="n"/>
      <c r="H208" s="2" t="n"/>
      <c r="I208" s="2" t="n"/>
      <c r="J208" s="2" t="n"/>
      <c r="K208" s="2" t="n"/>
    </row>
    <row r="209" ht="14.25" customHeight="1" s="46">
      <c r="A209" s="2" t="n"/>
      <c r="B209" s="2" t="n"/>
      <c r="C209" s="2" t="n"/>
      <c r="D209" s="2" t="n"/>
      <c r="E209" s="2" t="n"/>
      <c r="F209" s="2" t="n"/>
      <c r="G209" s="2" t="n"/>
      <c r="H209" s="2" t="n"/>
      <c r="I209" s="2" t="n"/>
      <c r="J209" s="2" t="n"/>
      <c r="K209" s="2" t="n"/>
    </row>
    <row r="210" ht="14.25" customHeight="1" s="46">
      <c r="A210" s="2" t="n"/>
      <c r="B210" s="2" t="n"/>
      <c r="C210" s="2" t="n"/>
      <c r="D210" s="2" t="n"/>
      <c r="E210" s="2" t="n"/>
      <c r="F210" s="2" t="n"/>
      <c r="G210" s="2" t="n"/>
      <c r="H210" s="2" t="n"/>
      <c r="I210" s="2" t="n"/>
      <c r="J210" s="2" t="n"/>
      <c r="K210" s="2" t="n"/>
    </row>
    <row r="211" ht="14.25" customHeight="1" s="46">
      <c r="A211" s="2" t="n"/>
      <c r="B211" s="2" t="n"/>
      <c r="C211" s="2" t="n"/>
      <c r="D211" s="2" t="n"/>
      <c r="E211" s="2" t="n"/>
      <c r="F211" s="2" t="n"/>
      <c r="G211" s="2" t="n"/>
      <c r="H211" s="2" t="n"/>
      <c r="I211" s="2" t="n"/>
      <c r="J211" s="2" t="n"/>
      <c r="K211" s="2" t="n"/>
    </row>
    <row r="212" ht="14.25" customHeight="1" s="46">
      <c r="A212" s="2" t="n"/>
      <c r="B212" s="2" t="n"/>
      <c r="C212" s="2" t="n"/>
      <c r="D212" s="2" t="n"/>
      <c r="E212" s="2" t="n"/>
      <c r="F212" s="2" t="n"/>
      <c r="G212" s="2" t="n"/>
      <c r="H212" s="2" t="n"/>
      <c r="I212" s="2" t="n"/>
      <c r="J212" s="2" t="n"/>
      <c r="K212" s="2" t="n"/>
    </row>
    <row r="213" ht="14.25" customHeight="1" s="46">
      <c r="A213" s="2" t="n"/>
      <c r="B213" s="2" t="n"/>
      <c r="C213" s="2" t="n"/>
      <c r="D213" s="2" t="n"/>
      <c r="E213" s="2" t="n"/>
      <c r="F213" s="2" t="n"/>
      <c r="G213" s="2" t="n"/>
      <c r="H213" s="2" t="n"/>
      <c r="I213" s="2" t="n"/>
      <c r="J213" s="2" t="n"/>
      <c r="K213" s="2" t="n"/>
    </row>
    <row r="214" ht="14.25" customHeight="1" s="46">
      <c r="A214" s="2" t="n"/>
      <c r="B214" s="2" t="n"/>
      <c r="C214" s="2" t="n"/>
      <c r="D214" s="2" t="n"/>
      <c r="E214" s="2" t="n"/>
      <c r="F214" s="2" t="n"/>
      <c r="G214" s="2" t="n"/>
      <c r="H214" s="2" t="n"/>
      <c r="I214" s="2" t="n"/>
      <c r="J214" s="2" t="n"/>
      <c r="K214" s="2" t="n"/>
    </row>
    <row r="215" ht="14.25" customHeight="1" s="46">
      <c r="A215" s="2" t="n"/>
      <c r="B215" s="2" t="n"/>
      <c r="C215" s="2" t="n"/>
      <c r="D215" s="2" t="n"/>
      <c r="E215" s="2" t="n"/>
      <c r="F215" s="2" t="n"/>
      <c r="G215" s="2" t="n"/>
      <c r="H215" s="2" t="n"/>
      <c r="I215" s="2" t="n"/>
      <c r="J215" s="2" t="n"/>
      <c r="K215" s="2" t="n"/>
    </row>
    <row r="216" ht="14.25" customHeight="1" s="46">
      <c r="A216" s="2" t="n"/>
      <c r="B216" s="2" t="n"/>
      <c r="C216" s="2" t="n"/>
      <c r="D216" s="2" t="n"/>
      <c r="E216" s="2" t="n"/>
      <c r="F216" s="2" t="n"/>
      <c r="G216" s="2" t="n"/>
      <c r="H216" s="2" t="n"/>
      <c r="I216" s="2" t="n"/>
      <c r="J216" s="2" t="n"/>
      <c r="K216" s="2" t="n"/>
    </row>
    <row r="217" ht="14.25" customHeight="1" s="46">
      <c r="A217" s="2" t="n"/>
      <c r="B217" s="2" t="n"/>
      <c r="C217" s="2" t="n"/>
      <c r="D217" s="2" t="n"/>
      <c r="E217" s="2" t="n"/>
      <c r="F217" s="2" t="n"/>
      <c r="G217" s="2" t="n"/>
      <c r="H217" s="2" t="n"/>
      <c r="I217" s="2" t="n"/>
      <c r="J217" s="2" t="n"/>
      <c r="K217" s="2" t="n"/>
    </row>
    <row r="218" ht="14.25" customHeight="1" s="46">
      <c r="A218" s="2" t="n"/>
      <c r="B218" s="2" t="n"/>
      <c r="C218" s="2" t="n"/>
      <c r="D218" s="2" t="n"/>
      <c r="E218" s="2" t="n"/>
      <c r="F218" s="2" t="n"/>
      <c r="G218" s="2" t="n"/>
      <c r="H218" s="2" t="n"/>
      <c r="I218" s="2" t="n"/>
      <c r="J218" s="2" t="n"/>
      <c r="K218" s="2" t="n"/>
    </row>
    <row r="219" ht="14.25" customHeight="1" s="46">
      <c r="A219" s="2" t="n"/>
      <c r="B219" s="2" t="n"/>
      <c r="C219" s="2" t="n"/>
      <c r="D219" s="2" t="n"/>
      <c r="E219" s="2" t="n"/>
      <c r="F219" s="2" t="n"/>
      <c r="G219" s="2" t="n"/>
      <c r="H219" s="2" t="n"/>
      <c r="I219" s="2" t="n"/>
      <c r="J219" s="2" t="n"/>
      <c r="K219" s="2" t="n"/>
    </row>
    <row r="220" ht="14.25" customHeight="1" s="46">
      <c r="A220" s="2" t="n"/>
      <c r="B220" s="2" t="n"/>
      <c r="C220" s="2" t="n"/>
      <c r="D220" s="2" t="n"/>
      <c r="E220" s="2" t="n"/>
      <c r="F220" s="2" t="n"/>
      <c r="G220" s="2" t="n"/>
      <c r="H220" s="2" t="n"/>
      <c r="I220" s="2" t="n"/>
      <c r="J220" s="2" t="n"/>
      <c r="K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K235"/>
  <sheetViews>
    <sheetView workbookViewId="0">
      <pane ySplit="4" topLeftCell="A5" activePane="bottomLeft" state="frozen"/>
      <selection pane="bottomLeft" activeCell="B6" sqref="B6"/>
    </sheetView>
  </sheetViews>
  <sheetFormatPr baseColWidth="8" defaultColWidth="14.43" defaultRowHeight="15" customHeight="1"/>
  <cols>
    <col width="20" customWidth="1" style="46" min="1" max="1"/>
    <col width="13" customWidth="1" style="46" min="2" max="2"/>
    <col width="38" customWidth="1" style="46" min="3" max="3"/>
    <col width="9" customWidth="1" style="46" min="4" max="5"/>
    <col width="26" customWidth="1" style="46" min="6" max="6"/>
    <col width="8" customWidth="1" style="46" min="7" max="7"/>
    <col width="22" customWidth="1" style="46" min="8" max="8"/>
    <col width="14" customWidth="1" style="46" min="9" max="9"/>
    <col width="34" customWidth="1" style="46" min="10" max="10"/>
    <col width="26" customWidth="1" style="46" min="11" max="11"/>
  </cols>
  <sheetData>
    <row r="1" ht="9.75" customHeight="1" s="46">
      <c r="A1" s="1" t="inlineStr">
        <is>
          <t>Step 2: civic buildings, their gates and what they run on</t>
        </is>
      </c>
      <c r="B1" s="2" t="n"/>
      <c r="C1" s="2" t="n"/>
      <c r="D1" s="2" t="n"/>
      <c r="E1" s="2" t="n"/>
      <c r="F1" s="2" t="n"/>
      <c r="G1" s="2" t="n"/>
      <c r="H1" s="2" t="n"/>
      <c r="I1" s="2" t="n"/>
      <c r="J1" s="2" t="n"/>
      <c r="K1" s="2" t="n"/>
    </row>
    <row r="2" ht="14.25" customHeight="1" s="46">
      <c r="A2" s="3" t="inlineStr">
        <is>
          <t>Gate follows G6: a rank or a knowledge cost (blue), never both. "Essential for" feeds 1 Budget check.</t>
        </is>
      </c>
      <c r="B2" s="2" t="n"/>
      <c r="C2" s="2" t="n"/>
      <c r="D2" s="2" t="n"/>
      <c r="E2" s="2" t="n"/>
      <c r="F2" s="2" t="n"/>
      <c r="G2" s="2" t="n"/>
      <c r="H2" s="2" t="n"/>
      <c r="I2" s="2" t="n"/>
      <c r="J2" s="2" t="n"/>
      <c r="K2" s="2" t="n"/>
    </row>
    <row r="3" ht="14.25" customHeight="1" s="46">
      <c r="A3" s="2" t="n"/>
      <c r="B3" s="2" t="n"/>
      <c r="C3" s="2" t="n"/>
      <c r="D3" s="2" t="n"/>
      <c r="E3" s="2" t="n"/>
      <c r="F3" s="2" t="n"/>
      <c r="G3" s="2" t="n"/>
      <c r="H3" s="2" t="n"/>
      <c r="I3" s="2" t="n"/>
      <c r="J3" s="2" t="n"/>
      <c r="K3" s="2" t="n"/>
    </row>
    <row r="4" ht="25.5" customHeight="1" s="46">
      <c r="A4" s="9" t="inlineStr">
        <is>
          <t>Building</t>
        </is>
      </c>
      <c r="B4" s="9" t="inlineStr">
        <is>
          <t>Group</t>
        </is>
      </c>
      <c r="C4" s="9" t="inlineStr">
        <is>
          <t>What it does</t>
        </is>
      </c>
      <c r="D4" s="9" t="inlineStr">
        <is>
          <t>Gate</t>
        </is>
      </c>
      <c r="E4" s="9" t="inlineStr">
        <is>
          <t>Knowledge</t>
        </is>
      </c>
      <c r="F4" s="9" t="inlineStr">
        <is>
          <t>Cost (proposed)</t>
        </is>
      </c>
      <c r="G4" s="9" t="inlineStr">
        <is>
          <t>Workers</t>
        </is>
      </c>
      <c r="H4" s="9" t="inlineStr">
        <is>
          <t>Runs on</t>
        </is>
      </c>
      <c r="I4" s="9" t="inlineStr">
        <is>
          <t>Essential for</t>
        </is>
      </c>
      <c r="J4" s="9" t="inlineStr">
        <is>
          <t>Change from today</t>
        </is>
      </c>
      <c r="K4" s="9" t="inlineStr">
        <is>
          <t>Your notes</t>
        </is>
      </c>
    </row>
    <row r="5" ht="13.5" customHeight="1" s="46">
      <c r="A5" s="10" t="inlineStr">
        <is>
          <t>Storage &amp; logistics</t>
        </is>
      </c>
      <c r="B5" s="10" t="n"/>
      <c r="C5" s="10" t="n"/>
      <c r="D5" s="10" t="n"/>
      <c r="E5" s="10" t="n"/>
      <c r="F5" s="10" t="inlineStr">
        <is>
          <t>—</t>
        </is>
      </c>
      <c r="G5" s="10" t="n"/>
      <c r="H5" s="10" t="n"/>
      <c r="I5" s="10" t="n"/>
      <c r="J5" s="10" t="n"/>
      <c r="K5" s="10" t="n"/>
    </row>
    <row r="6" ht="42" customHeight="1" s="46">
      <c r="A6" s="7" t="inlineStr">
        <is>
          <t>Settlers' Camp</t>
        </is>
      </c>
      <c r="B6" s="7" t="inlineStr">
        <is>
          <t>Storage &amp; logistics</t>
        </is>
      </c>
      <c r="C6" s="7" t="inlineStr">
        <is>
          <t>Shelter for eight and the settlers' store until houses and a storehouse stand.</t>
        </is>
      </c>
      <c r="D6" s="11" t="inlineStr">
        <is>
          <t>start</t>
        </is>
      </c>
      <c r="E6" s="11" t="n"/>
      <c r="F6" s="7" t="inlineStr">
        <is>
          <t>—</t>
        </is>
      </c>
      <c r="G6" s="7" t="n">
        <v>0</v>
      </c>
      <c r="H6" s="7" t="inlineStr">
        <is>
          <t>—</t>
        </is>
      </c>
      <c r="I6" s="7" t="n"/>
      <c r="J6" s="7" t="n"/>
      <c r="K6" s="45" t="n"/>
    </row>
    <row r="7" ht="27.75" customHeight="1" s="46">
      <c r="A7" s="7" t="inlineStr">
        <is>
          <t>Storehouse</t>
        </is>
      </c>
      <c r="B7" s="7" t="inlineStr">
        <is>
          <t>Storage &amp; logistics</t>
        </is>
      </c>
      <c r="C7" s="7" t="inlineStr">
        <is>
          <t>Stores 300 materials; its haulers fetch from workplaces.</t>
        </is>
      </c>
      <c r="D7" s="11" t="inlineStr">
        <is>
          <t>start</t>
        </is>
      </c>
      <c r="E7" s="11" t="n"/>
      <c r="F7" s="13" t="inlineStr">
        <is>
          <t>8 timber</t>
        </is>
      </c>
      <c r="G7" s="7" t="n">
        <v>2</v>
      </c>
      <c r="H7" s="7" t="inlineStr">
        <is>
          <t>—</t>
        </is>
      </c>
      <c r="I7" s="7" t="n"/>
      <c r="J7" s="7" t="n"/>
      <c r="K7" s="45" t="n"/>
    </row>
    <row r="8" ht="13.5" customHeight="1" s="46">
      <c r="A8" s="7" t="inlineStr">
        <is>
          <t>Granary</t>
        </is>
      </c>
      <c r="B8" s="7" t="inlineStr">
        <is>
          <t>Storage &amp; logistics</t>
        </is>
      </c>
      <c r="C8" s="7" t="inlineStr">
        <is>
          <t>Stores 300 food.</t>
        </is>
      </c>
      <c r="D8" s="11" t="inlineStr">
        <is>
          <t>start</t>
        </is>
      </c>
      <c r="E8" s="11" t="n"/>
      <c r="F8" s="13" t="inlineStr">
        <is>
          <t>8 timber</t>
        </is>
      </c>
      <c r="G8" s="7" t="n">
        <v>2</v>
      </c>
      <c r="H8" s="7" t="inlineStr">
        <is>
          <t>—</t>
        </is>
      </c>
      <c r="I8" s="7" t="n"/>
      <c r="J8" s="7" t="n"/>
      <c r="K8" s="45" t="n"/>
    </row>
    <row r="9" ht="27.75" customHeight="1" s="46">
      <c r="A9" s="7" t="inlineStr">
        <is>
          <t>Silo</t>
        </is>
      </c>
      <c r="B9" s="7" t="inlineStr">
        <is>
          <t>Storage &amp; logistics</t>
        </is>
      </c>
      <c r="C9" s="7" t="inlineStr">
        <is>
          <t>Keeps 1000 grain dry, so granaries stay free.</t>
        </is>
      </c>
      <c r="D9" s="11" t="n"/>
      <c r="E9" s="11" t="n">
        <v>1</v>
      </c>
      <c r="F9" s="13" t="inlineStr">
        <is>
          <t>5 timber, 4 stone</t>
        </is>
      </c>
      <c r="G9" s="7" t="n">
        <v>0</v>
      </c>
      <c r="H9" s="7" t="inlineStr">
        <is>
          <t>—</t>
        </is>
      </c>
      <c r="I9" s="7" t="n"/>
      <c r="J9" s="7" t="inlineStr">
        <is>
          <t>Was Village rank.</t>
        </is>
      </c>
      <c r="K9" s="45" t="n"/>
    </row>
    <row r="10" ht="13.5" customHeight="1" s="46">
      <c r="A10" s="7" t="inlineStr">
        <is>
          <t>Draught Stable</t>
        </is>
      </c>
      <c r="B10" s="7" t="inlineStr">
        <is>
          <t>Storage &amp; logistics</t>
        </is>
      </c>
      <c r="C10" s="7" t="inlineStr">
        <is>
          <t>Stalls for pack up to 3 horses and oxen.</t>
        </is>
      </c>
      <c r="D10" s="11" t="n"/>
      <c r="E10" s="11" t="n">
        <v>2</v>
      </c>
      <c r="F10" s="13" t="inlineStr">
        <is>
          <t>8 timber, 4 planks</t>
        </is>
      </c>
      <c r="G10" s="7" t="n">
        <v>0</v>
      </c>
      <c r="H10" s="7" t="n"/>
      <c r="I10" s="7" t="n"/>
      <c r="J10" s="7" t="inlineStr">
        <is>
          <t>Was open from the start.</t>
        </is>
      </c>
      <c r="K10" s="45" t="inlineStr">
        <is>
          <t>runs on nothing, not to mix with Noble stable</t>
        </is>
      </c>
    </row>
    <row r="11" ht="27.75" customHeight="1" s="46">
      <c r="A11" s="7" t="inlineStr">
        <is>
          <t>Builder's Yard</t>
        </is>
      </c>
      <c r="B11" s="7" t="inlineStr">
        <is>
          <t>Storage &amp; logistics</t>
        </is>
      </c>
      <c r="C11" s="7" t="inlineStr">
        <is>
          <t>With its ox, building sites nearby rise half as fast again.</t>
        </is>
      </c>
      <c r="D11" s="11" t="n"/>
      <c r="E11" s="11" t="n">
        <v>3</v>
      </c>
      <c r="F11" s="13" t="inlineStr">
        <is>
          <t>8 timber, 4 planks, 3 stone</t>
        </is>
      </c>
      <c r="G11" s="7" t="n">
        <v>2</v>
      </c>
      <c r="H11" s="7" t="inlineStr">
        <is>
          <t>wood parts</t>
        </is>
      </c>
      <c r="I11" s="7" t="n"/>
      <c r="J11" s="13" t="inlineStr">
        <is>
          <t>Was open from the start. Waits for a Draught Stable: an exception to G7, like the Cooper.</t>
        </is>
      </c>
      <c r="K11" s="45" t="n"/>
    </row>
    <row r="12" ht="13.5" customHeight="1" s="46">
      <c r="A12" s="10" t="inlineStr">
        <is>
          <t>Water, food &amp; drink</t>
        </is>
      </c>
      <c r="B12" s="10" t="n"/>
      <c r="C12" s="10" t="n"/>
      <c r="D12" s="10" t="n"/>
      <c r="E12" s="10" t="n"/>
      <c r="F12" s="10" t="n"/>
      <c r="G12" s="10" t="n"/>
      <c r="H12" s="10" t="n"/>
      <c r="I12" s="10" t="n"/>
      <c r="J12" s="10" t="n"/>
      <c r="K12" s="10" t="n"/>
    </row>
    <row r="13" ht="27.75" customHeight="1" s="46">
      <c r="A13" s="7" t="inlineStr">
        <is>
          <t>Well</t>
        </is>
      </c>
      <c r="B13" s="7" t="inlineStr">
        <is>
          <t>Water, food &amp; drink</t>
        </is>
      </c>
      <c r="C13" s="7" t="inlineStr">
        <is>
          <t>Water for homes nearby (Timber House need).</t>
        </is>
      </c>
      <c r="D13" s="11" t="inlineStr">
        <is>
          <t>start</t>
        </is>
      </c>
      <c r="E13" s="11" t="n"/>
      <c r="F13" s="13" t="inlineStr">
        <is>
          <t>3 stone</t>
        </is>
      </c>
      <c r="G13" s="7" t="n">
        <v>0</v>
      </c>
      <c r="H13" s="7" t="inlineStr">
        <is>
          <t>—</t>
        </is>
      </c>
      <c r="I13" s="7" t="inlineStr">
        <is>
          <t>Timber House</t>
        </is>
      </c>
      <c r="J13" s="7" t="n"/>
      <c r="K13" s="45" t="n"/>
    </row>
    <row r="14" ht="42" customHeight="1" s="46">
      <c r="A14" s="7" t="inlineStr">
        <is>
          <t>Market</t>
        </is>
      </c>
      <c r="B14" s="7" t="inlineStr">
        <is>
          <t>Water, food &amp; drink</t>
        </is>
      </c>
      <c r="C14" s="7" t="inlineStr">
        <is>
          <t>Stalls; each open stall serves ten households with their goods (Townhouse need).</t>
        </is>
      </c>
      <c r="D14" s="11" t="inlineStr">
        <is>
          <t>start</t>
        </is>
      </c>
      <c r="E14" s="11" t="n"/>
      <c r="F14" s="7" t="inlineStr">
        <is>
          <t>free</t>
        </is>
      </c>
      <c r="G14" s="7" t="inlineStr">
        <is>
          <t>Depends on  space for stalls (up to 1 workspace/stall for every 2 sqares)</t>
        </is>
      </c>
      <c r="H14" s="7" t="inlineStr">
        <is>
          <t>—</t>
        </is>
      </c>
      <c r="I14" s="7" t="inlineStr">
        <is>
          <t>Timber House</t>
        </is>
      </c>
      <c r="J14" s="7" t="n"/>
      <c r="K14" s="45" t="inlineStr">
        <is>
          <t>Amount of houses served depend on number of workers</t>
        </is>
      </c>
    </row>
    <row r="15" ht="42" customHeight="1" s="46">
      <c r="A15" s="7" t="inlineStr">
        <is>
          <t>Alehouse</t>
        </is>
      </c>
      <c r="B15" s="7" t="inlineStr">
        <is>
          <t>Water, food &amp; drink</t>
        </is>
      </c>
      <c r="C15" s="7" t="inlineStr">
        <is>
          <t>Pours drink for homes nearby (Townhouse need). Enlarged into a Tavern once a Town: twice the reach.</t>
        </is>
      </c>
      <c r="D15" s="11" t="inlineStr">
        <is>
          <t>Town</t>
        </is>
      </c>
      <c r="E15" s="11" t="n"/>
      <c r="F15" s="13" t="inlineStr">
        <is>
          <t>4 timber, 1 planks</t>
        </is>
      </c>
      <c r="G15" s="7" t="n">
        <v>2</v>
      </c>
      <c r="H15" s="7" t="inlineStr">
        <is>
          <t>ale, cider, mead or wine</t>
        </is>
      </c>
      <c r="I15" s="7" t="inlineStr">
        <is>
          <t>Townhouse</t>
        </is>
      </c>
      <c r="J15" s="7" t="inlineStr">
        <is>
          <t>Was Village rank. Its drink is now a Townhouse need, not a Timber House one.</t>
        </is>
      </c>
      <c r="K15" s="45" t="inlineStr">
        <is>
          <t>Amount of houses served depend on number of workers</t>
        </is>
      </c>
    </row>
    <row r="16" ht="42" customHeight="1" s="46">
      <c r="A16" s="7" t="inlineStr">
        <is>
          <t>Bathhouse (proposal)</t>
        </is>
      </c>
      <c r="B16" s="7" t="inlineStr">
        <is>
          <t>Water, food &amp; drink</t>
        </is>
      </c>
      <c r="C16" s="7" t="inlineStr">
        <is>
          <t>Hot baths: a Merchant's House need, and cheer for homes nearby.</t>
        </is>
      </c>
      <c r="D16" s="26" t="inlineStr">
        <is>
          <t>Borough</t>
        </is>
      </c>
      <c r="E16" s="11" t="n"/>
      <c r="F16" s="13" t="inlineStr">
        <is>
          <t>5 stone, 3 planks, 2 tiles, 1 glass</t>
        </is>
      </c>
      <c r="G16" s="7" t="n">
        <v>2</v>
      </c>
      <c r="H16" s="7" t="inlineStr">
        <is>
          <t>fuel, a little</t>
        </is>
      </c>
      <c r="I16" s="7" t="inlineStr">
        <is>
          <t>Merchant's House</t>
        </is>
      </c>
      <c r="J16" s="13" t="inlineStr">
        <is>
          <t>New. Opens at Borough, with the Merchant's House that needs it.</t>
        </is>
      </c>
      <c r="K16" s="45" t="inlineStr">
        <is>
          <t>Amount of houses served depend on number of workers</t>
        </is>
      </c>
    </row>
    <row r="17" ht="13.5" customHeight="1" s="46">
      <c r="A17" s="10" t="inlineStr">
        <is>
          <t>Trade</t>
        </is>
      </c>
      <c r="B17" s="10" t="n"/>
      <c r="C17" s="10" t="n"/>
      <c r="D17" s="10" t="n"/>
      <c r="E17" s="10" t="n"/>
      <c r="F17" s="10" t="n"/>
      <c r="G17" s="10" t="n"/>
      <c r="H17" s="10" t="n"/>
      <c r="I17" s="10" t="n"/>
      <c r="J17" s="10" t="n"/>
      <c r="K17" s="10" t="n"/>
    </row>
    <row r="18" ht="27.75" customHeight="1" s="46">
      <c r="A18" s="7" t="inlineStr">
        <is>
          <t>Trading Post</t>
        </is>
      </c>
      <c r="B18" s="7" t="inlineStr">
        <is>
          <t>Trade</t>
        </is>
      </c>
      <c r="C18" s="7" t="inlineStr">
        <is>
          <t>Import and export orders; animals are bought here.</t>
        </is>
      </c>
      <c r="D18" s="11" t="inlineStr">
        <is>
          <t>start</t>
        </is>
      </c>
      <c r="E18" s="11" t="n"/>
      <c r="F18" s="13" t="inlineStr">
        <is>
          <t>8 timber</t>
        </is>
      </c>
      <c r="G18" s="7" t="n">
        <v>2</v>
      </c>
      <c r="H18" s="7" t="inlineStr">
        <is>
          <t>wood parts</t>
        </is>
      </c>
      <c r="I18" s="7" t="n"/>
      <c r="J18" s="7" t="inlineStr">
        <is>
          <t>Was Village rank: the Hamlet can trade (0 Stages).</t>
        </is>
      </c>
      <c r="K18" s="45" t="inlineStr">
        <is>
          <t>No planks needed, no wood part upkeep</t>
        </is>
      </c>
    </row>
    <row r="19" ht="27.75" customHeight="1" s="46">
      <c r="A19" s="7" t="inlineStr">
        <is>
          <t>Dock</t>
        </is>
      </c>
      <c r="B19" s="7" t="inlineStr">
        <is>
          <t>Trade</t>
        </is>
      </c>
      <c r="C19" s="7" t="inlineStr">
        <is>
          <t>Boats carry more and trade cheaper; on the water's edge.</t>
        </is>
      </c>
      <c r="D19" s="11" t="n"/>
      <c r="E19" s="11" t="n">
        <v>4</v>
      </c>
      <c r="F19" s="13" t="inlineStr">
        <is>
          <t>8 planks, 5 timber, 3 stone</t>
        </is>
      </c>
      <c r="G19" s="7" t="n">
        <v>3</v>
      </c>
      <c r="H19" s="7" t="inlineStr">
        <is>
          <t>wood parts</t>
        </is>
      </c>
      <c r="I19" s="7" t="n"/>
      <c r="J19" s="7" t="inlineStr">
        <is>
          <t>Was Village rank.</t>
        </is>
      </c>
      <c r="K19" s="45" t="n"/>
    </row>
    <row r="20" ht="13.5" customHeight="1" s="46">
      <c r="A20" s="10" t="inlineStr">
        <is>
          <t>Faith &amp; learning</t>
        </is>
      </c>
      <c r="B20" s="10" t="n"/>
      <c r="C20" s="10" t="n"/>
      <c r="D20" s="10" t="n"/>
      <c r="E20" s="10" t="n"/>
      <c r="F20" s="10" t="n"/>
      <c r="G20" s="10" t="n"/>
      <c r="H20" s="10" t="n"/>
      <c r="I20" s="10" t="n"/>
      <c r="J20" s="10" t="n"/>
      <c r="K20" s="10" t="n"/>
    </row>
    <row r="21" ht="27.75" customHeight="1" s="46">
      <c r="A21" s="7" t="inlineStr">
        <is>
          <t>Wooden Church</t>
        </is>
      </c>
      <c r="B21" s="7" t="inlineStr">
        <is>
          <t>Faith &amp; learning</t>
        </is>
      </c>
      <c r="C21" s="7" t="inlineStr">
        <is>
          <t>Happiness in a wide area; 0.25 knowledge a month (Timber House need).</t>
        </is>
      </c>
      <c r="D21" s="11" t="inlineStr">
        <is>
          <t>Village</t>
        </is>
      </c>
      <c r="E21" s="11" t="n"/>
      <c r="F21" s="13" t="inlineStr">
        <is>
          <t>10 timber, 5 planks, 10 coins</t>
        </is>
      </c>
      <c r="G21" s="7" t="n">
        <v>1</v>
      </c>
      <c r="H21" s="7" t="inlineStr">
        <is>
          <t>—</t>
        </is>
      </c>
      <c r="I21" s="7" t="inlineStr">
        <is>
          <t>Timber House</t>
        </is>
      </c>
      <c r="J21" s="7" t="inlineStr">
        <is>
          <t>Was Town.</t>
        </is>
      </c>
      <c r="K21" s="45" t="inlineStr">
        <is>
          <t>Let's limit 1/city of this or its upgrades</t>
        </is>
      </c>
    </row>
    <row r="22" ht="27.75" customHeight="1" s="46">
      <c r="A22" s="7" t="inlineStr">
        <is>
          <t>Stone Church (rebuild)</t>
        </is>
      </c>
      <c r="B22" s="7" t="inlineStr">
        <is>
          <t>Faith &amp; learning</t>
        </is>
      </c>
      <c r="C22" s="7" t="inlineStr">
        <is>
          <t>More happiness, prestige and knowledge (1 a month);Townhouse need.</t>
        </is>
      </c>
      <c r="D22" s="11" t="inlineStr">
        <is>
          <t>Town</t>
        </is>
      </c>
      <c r="E22" s="11" t="n"/>
      <c r="F22" s="13" t="inlineStr">
        <is>
          <t>8 stone, 4 tiles, 1 tools, 20 coins</t>
        </is>
      </c>
      <c r="G22" s="7" t="n">
        <v>1</v>
      </c>
      <c r="H22" s="7" t="inlineStr">
        <is>
          <t>—</t>
        </is>
      </c>
      <c r="I22" s="7" t="inlineStr">
        <is>
          <t>Townhouse</t>
        </is>
      </c>
      <c r="J22" s="7" t="inlineStr">
        <is>
          <t>Mortar and glass in place of planks and rough stone.</t>
        </is>
      </c>
      <c r="K22" s="45" t="inlineStr">
        <is>
          <t>intermediate church</t>
        </is>
      </c>
    </row>
    <row r="23" ht="27.75" customHeight="1" s="46">
      <c r="A23" s="7" t="inlineStr">
        <is>
          <t>Dressed Stone Church (upgrade)</t>
        </is>
      </c>
      <c r="B23" s="7" t="inlineStr">
        <is>
          <t>Faith &amp; learning</t>
        </is>
      </c>
      <c r="C23" s="7" t="inlineStr">
        <is>
          <t>More happiness, prestige and knowledge (2 a month);Merchan'ts House need.</t>
        </is>
      </c>
      <c r="D23" s="11" t="inlineStr">
        <is>
          <t>Borough</t>
        </is>
      </c>
      <c r="E23" s="11" t="n"/>
      <c r="F23" s="13" t="inlineStr">
        <is>
          <t>8 dressed stone, 3 mortar, 1 glass, 1 tools, 20 coins</t>
        </is>
      </c>
      <c r="G23" s="7" t="n"/>
      <c r="H23" s="7" t="n"/>
      <c r="I23" s="7" t="inlineStr">
        <is>
          <t>Merchant's House</t>
        </is>
      </c>
      <c r="J23" s="7" t="n"/>
      <c r="K23" s="45" t="inlineStr">
        <is>
          <t>Now the final level</t>
        </is>
      </c>
    </row>
    <row r="24" ht="42" customHeight="1" s="46">
      <c r="A24" s="7" t="inlineStr">
        <is>
          <t>Monastery</t>
        </is>
      </c>
      <c r="B24" s="7" t="inlineStr">
        <is>
          <t>Faith &amp; learning</t>
        </is>
      </c>
      <c r="C24" s="7" t="inlineStr">
        <is>
          <t>Reads a book a month: 3 knowledge, a little prestige, +3 happiness town-wide.</t>
        </is>
      </c>
      <c r="D24" s="11" t="n"/>
      <c r="E24" s="11" t="n">
        <v>10</v>
      </c>
      <c r="F24" s="13" t="inlineStr">
        <is>
          <t>10 stone, 8 planks, 5 tiles, 3 mortar, 30 coins</t>
        </is>
      </c>
      <c r="G24" s="7" t="n">
        <v>2</v>
      </c>
      <c r="H24" s="7" t="inlineStr">
        <is>
          <t>1 book a month</t>
        </is>
      </c>
      <c r="I24" s="7" t="n"/>
      <c r="J24" s="7" t="inlineStr">
        <is>
          <t>Was Town rank; mortar added.</t>
        </is>
      </c>
      <c r="K24" s="45" t="n"/>
    </row>
    <row r="25" ht="42" customHeight="1" s="46">
      <c r="A25" s="7" t="inlineStr">
        <is>
          <t>Public School (proposal)</t>
        </is>
      </c>
      <c r="B25" s="7" t="inlineStr">
        <is>
          <t>Faith &amp; learning</t>
        </is>
      </c>
      <c r="C25" s="7" t="inlineStr">
        <is>
          <t>0.02 learning per house, efficiency malus of 3%</t>
        </is>
      </c>
      <c r="D25" s="11" t="n"/>
      <c r="E25" s="11" t="n">
        <v>2</v>
      </c>
      <c r="F25" s="13" t="inlineStr">
        <is>
          <t>5 planks, 3 tiles, 3 stone</t>
        </is>
      </c>
      <c r="G25" s="7" t="n">
        <v>1</v>
      </c>
      <c r="H25" s="7" t="inlineStr">
        <is>
          <t>—</t>
        </is>
      </c>
      <c r="I25" s="7" t="n"/>
      <c r="J25" s="7" t="inlineStr">
        <is>
          <t>New. The Sunday school is its alternative, as a church extension (step 4). Let's keep both</t>
        </is>
      </c>
      <c r="K25" s="45" t="n"/>
    </row>
    <row r="26" ht="27.75" customHeight="1" s="46">
      <c r="A26" s="7" t="inlineStr">
        <is>
          <t>Scriptorium</t>
        </is>
      </c>
      <c r="B26" s="7" t="inlineStr">
        <is>
          <t>Faith &amp; learning</t>
        </is>
      </c>
      <c r="C26" s="7" t="inlineStr">
        <is>
          <t>Copies books from paper and leather. Makes books and knowledge</t>
        </is>
      </c>
      <c r="D26" s="11" t="inlineStr">
        <is>
          <t>charter</t>
        </is>
      </c>
      <c r="E26" s="11" t="n"/>
      <c r="F26" s="13" t="inlineStr">
        <is>
          <t>4 dressed stone, 4 planks, 8 coins</t>
        </is>
      </c>
      <c r="G26" s="7" t="n">
        <v>3</v>
      </c>
      <c r="H26" s="7" t="inlineStr">
        <is>
          <t>paper, leather</t>
        </is>
      </c>
      <c r="I26" s="7" t="n"/>
      <c r="J26" s="7" t="inlineStr">
        <is>
          <t>Books only: paper moves to the Paper Mill.</t>
        </is>
      </c>
      <c r="K26" s="45" t="n"/>
    </row>
    <row r="27" ht="13.5" customHeight="1" s="46">
      <c r="A27" s="10" t="inlineStr">
        <is>
          <t>Administration</t>
        </is>
      </c>
      <c r="B27" s="10" t="n"/>
      <c r="C27" s="10" t="n"/>
      <c r="D27" s="10" t="n"/>
      <c r="E27" s="10" t="n"/>
      <c r="F27" s="10" t="n"/>
      <c r="G27" s="10" t="n"/>
      <c r="H27" s="10" t="n"/>
      <c r="I27" s="10" t="n"/>
      <c r="J27" s="10" t="n"/>
      <c r="K27" s="10" t="n"/>
    </row>
    <row r="28" ht="42" customHeight="1" s="46">
      <c r="A28" s="7" t="inlineStr">
        <is>
          <t>Manor (hall)</t>
        </is>
      </c>
      <c r="B28" s="7" t="inlineStr">
        <is>
          <t>Administration</t>
        </is>
      </c>
      <c r="C28" s="7" t="inlineStr">
        <is>
          <t>The lord's seat. Taxes start only once it stands, and it can tax up to 45 villagers.</t>
        </is>
      </c>
      <c r="D28" s="11" t="inlineStr">
        <is>
          <t>Hamlet</t>
        </is>
      </c>
      <c r="E28" s="11" t="n"/>
      <c r="F28" s="13" t="inlineStr">
        <is>
          <t>10 timber, 4 planks, 5 coins</t>
        </is>
      </c>
      <c r="G28" s="7" t="n">
        <v>0</v>
      </c>
      <c r="H28" s="7" t="inlineStr">
        <is>
          <t>—</t>
        </is>
      </c>
      <c r="I28" s="7" t="n"/>
      <c r="J28" s="7" t="inlineStr">
        <is>
          <t>Taxes need it now; was optional. Reviewed with the manor (step 5).</t>
        </is>
      </c>
      <c r="K28" s="45" t="n"/>
    </row>
    <row r="29" ht="42" customHeight="1" s="46">
      <c r="A29" s="7" t="inlineStr">
        <is>
          <t>Courthouse</t>
        </is>
      </c>
      <c r="B29" s="7" t="inlineStr">
        <is>
          <t>Administration</t>
        </is>
      </c>
      <c r="C29" s="7" t="n"/>
      <c r="D29" s="11" t="inlineStr">
        <is>
          <t>Borough</t>
        </is>
      </c>
      <c r="E29" s="11" t="n"/>
      <c r="F29" s="13" t="inlineStr">
        <is>
          <t>8 dressed stone, 4 mortar, 4 planks, 20 coins</t>
        </is>
      </c>
      <c r="G29" s="7" t="n"/>
      <c r="H29" s="7" t="n"/>
      <c r="I29" s="7" t="n"/>
      <c r="J29" s="7" t="n"/>
      <c r="K29" s="45" t="inlineStr">
        <is>
          <t xml:space="preserve">Starting at borough, increased population exponentially diminishes hapines without policiment </t>
        </is>
      </c>
    </row>
    <row r="30" ht="42" customHeight="1" s="46">
      <c r="A30" s="7" t="inlineStr">
        <is>
          <t>Tax Office</t>
        </is>
      </c>
      <c r="B30" s="7" t="inlineStr">
        <is>
          <t>Administration</t>
        </is>
      </c>
      <c r="C30" s="7" t="inlineStr">
        <is>
          <t>Taxes 40 more villagers. Short of paper it manages only half; tally sticks (timber) can stand in at half.</t>
        </is>
      </c>
      <c r="D30" s="11" t="inlineStr">
        <is>
          <t>Town</t>
        </is>
      </c>
      <c r="E30" s="11" t="n">
        <v>4</v>
      </c>
      <c r="F30" s="13" t="inlineStr">
        <is>
          <t>5 planks, 3 stone, 8 coins</t>
        </is>
      </c>
      <c r="G30" s="7" t="n">
        <v>2</v>
      </c>
      <c r="H30" s="7" t="inlineStr">
        <is>
          <t>2 paper a month</t>
        </is>
      </c>
      <c r="I30" s="7" t="inlineStr">
        <is>
          <t>Administrative buildings</t>
        </is>
      </c>
      <c r="J30" s="7" t="inlineStr">
        <is>
          <t>New (your G5 note).</t>
        </is>
      </c>
      <c r="K30" s="45" t="n"/>
    </row>
    <row r="31" ht="13.5" customHeight="1" s="46">
      <c r="A31" s="10" t="inlineStr">
        <is>
          <t>Health</t>
        </is>
      </c>
      <c r="B31" s="10" t="n"/>
      <c r="C31" s="10" t="n"/>
      <c r="D31" s="10" t="n"/>
      <c r="E31" s="10" t="n"/>
      <c r="F31" s="10" t="n"/>
      <c r="G31" s="10" t="n"/>
      <c r="H31" s="10" t="n"/>
      <c r="I31" s="10" t="n"/>
      <c r="J31" s="10" t="n"/>
      <c r="K31" s="10" t="n"/>
    </row>
    <row r="32" ht="27.75" customHeight="1" s="46">
      <c r="A32" s="7" t="inlineStr">
        <is>
          <t>Apothecary</t>
        </is>
      </c>
      <c r="B32" s="7" t="inlineStr">
        <is>
          <t>Health</t>
        </is>
      </c>
      <c r="C32" s="7" t="inlineStr">
        <is>
          <t>Herbs into medicine (in 1 Basic lines).</t>
        </is>
      </c>
      <c r="D32" s="11" t="n"/>
      <c r="E32" s="11" t="n">
        <v>4</v>
      </c>
      <c r="F32" s="13" t="inlineStr">
        <is>
          <t>4 timber, 3 planks</t>
        </is>
      </c>
      <c r="G32" s="7" t="n">
        <v>2</v>
      </c>
      <c r="H32" s="7" t="inlineStr">
        <is>
          <t>herbs + fuel</t>
        </is>
      </c>
      <c r="I32" s="7" t="inlineStr">
        <is>
          <t>Townhouse</t>
        </is>
      </c>
      <c r="J32" s="7" t="inlineStr">
        <is>
          <t>Listed here for completeness; its gate lives in 1 Basic lines.</t>
        </is>
      </c>
      <c r="K32" s="45" t="n"/>
    </row>
    <row r="33" ht="14.25" customHeight="1" s="46">
      <c r="A33" s="2" t="n"/>
      <c r="B33" s="2" t="n"/>
      <c r="C33" s="2" t="n"/>
      <c r="D33" s="2" t="n"/>
      <c r="E33" s="2" t="n"/>
      <c r="F33" s="2" t="n"/>
      <c r="G33" s="2" t="n"/>
      <c r="H33" s="2" t="n"/>
      <c r="I33" s="2" t="n"/>
      <c r="J33" s="2" t="n"/>
      <c r="K33" s="2" t="n"/>
    </row>
    <row r="34" ht="14.25" customHeight="1" s="46">
      <c r="A34" s="3" t="inlineStr">
        <is>
          <t>The Apothecary is counted in 1 Basic lines only (its row here is informational and is left out of the budget check).</t>
        </is>
      </c>
      <c r="B34" s="2" t="n"/>
      <c r="C34" s="2" t="n"/>
      <c r="D34" s="2" t="n"/>
      <c r="E34" s="2" t="n"/>
      <c r="F34" s="2" t="n"/>
      <c r="G34" s="2" t="n"/>
      <c r="H34" s="2" t="n"/>
      <c r="I34" s="2" t="n"/>
      <c r="J34" s="2" t="n"/>
      <c r="K34" s="2" t="n"/>
    </row>
    <row r="35" ht="14.25" customHeight="1" s="46">
      <c r="A35" s="3" t="inlineStr">
        <is>
          <t>Taxes: before a manor, no taxes at all; a Hamlet lives on its stock and what it sells. Manor up to 45 villagers; each Tax Office 40 more.</t>
        </is>
      </c>
      <c r="B35" s="2" t="n"/>
      <c r="C35" s="2" t="n"/>
      <c r="D35" s="2" t="n"/>
      <c r="E35" s="2" t="n"/>
      <c r="F35" s="2" t="n"/>
      <c r="G35" s="2" t="n"/>
      <c r="H35" s="2" t="n"/>
      <c r="I35" s="2" t="n"/>
      <c r="J35" s="2" t="n"/>
      <c r="K35" s="2" t="n"/>
    </row>
    <row r="36" ht="14.25" customHeight="1" s="46">
      <c r="A36" s="2" t="n"/>
      <c r="B36" s="2" t="n"/>
      <c r="C36" s="2" t="n"/>
      <c r="D36" s="2" t="n"/>
      <c r="E36" s="2" t="n"/>
      <c r="F36" s="2" t="n"/>
      <c r="G36" s="2" t="n"/>
      <c r="H36" s="2" t="n"/>
      <c r="I36" s="2" t="n"/>
      <c r="J36" s="2" t="n"/>
      <c r="K36" s="2" t="n"/>
    </row>
    <row r="37" ht="14.25" customHeight="1" s="46">
      <c r="A37" s="2" t="n"/>
      <c r="B37" s="2" t="n"/>
      <c r="C37" s="2" t="n"/>
      <c r="D37" s="2" t="n"/>
      <c r="E37" s="2" t="n"/>
      <c r="F37" s="2" t="n"/>
      <c r="G37" s="2" t="n"/>
      <c r="H37" s="2" t="n"/>
      <c r="I37" s="2" t="n"/>
      <c r="J37" s="2" t="n"/>
      <c r="K37" s="2" t="n"/>
    </row>
    <row r="38" ht="14.25" customHeight="1" s="46">
      <c r="A38" s="2" t="n"/>
      <c r="B38" s="2" t="n"/>
      <c r="C38" s="2" t="n"/>
      <c r="D38" s="2" t="n"/>
      <c r="E38" s="2" t="n"/>
      <c r="F38" s="2" t="n"/>
      <c r="G38" s="2" t="n"/>
      <c r="H38" s="2" t="n"/>
      <c r="I38" s="2" t="n"/>
      <c r="J38" s="2" t="n"/>
      <c r="K38" s="2" t="n"/>
    </row>
    <row r="39" ht="14.25" customHeight="1" s="46">
      <c r="A39" s="2" t="n"/>
      <c r="B39" s="2" t="n"/>
      <c r="C39" s="2" t="n"/>
      <c r="D39" s="2" t="n"/>
      <c r="E39" s="2" t="n"/>
      <c r="F39" s="2" t="n"/>
      <c r="G39" s="2" t="n"/>
      <c r="H39" s="2" t="n"/>
      <c r="I39" s="2" t="n"/>
      <c r="J39" s="2" t="n"/>
      <c r="K39" s="2" t="n"/>
    </row>
    <row r="40" ht="14.25" customHeight="1" s="46">
      <c r="A40" s="2" t="n"/>
      <c r="B40" s="2" t="n"/>
      <c r="C40" s="2" t="n"/>
      <c r="D40" s="2" t="n"/>
      <c r="E40" s="2" t="n"/>
      <c r="F40" s="2" t="n"/>
      <c r="G40" s="2" t="n"/>
      <c r="H40" s="2" t="n"/>
      <c r="I40" s="2" t="n"/>
      <c r="J40" s="2" t="n"/>
      <c r="K40" s="2" t="n"/>
    </row>
    <row r="41" ht="14.25" customHeight="1" s="46">
      <c r="A41" s="2" t="n"/>
      <c r="B41" s="2" t="n"/>
      <c r="C41" s="2" t="n"/>
      <c r="D41" s="2" t="n"/>
      <c r="E41" s="2" t="n"/>
      <c r="F41" s="2" t="n"/>
      <c r="G41" s="2" t="n"/>
      <c r="H41" s="2" t="n"/>
      <c r="I41" s="2" t="n"/>
      <c r="J41" s="2" t="n"/>
      <c r="K41" s="2" t="n"/>
    </row>
    <row r="42" ht="14.25" customHeight="1" s="46">
      <c r="A42" s="2" t="n"/>
      <c r="B42" s="2" t="n"/>
      <c r="C42" s="2" t="n"/>
      <c r="D42" s="2" t="n"/>
      <c r="E42" s="2" t="n"/>
      <c r="F42" s="2" t="n"/>
      <c r="G42" s="2" t="n"/>
      <c r="H42" s="2" t="n"/>
      <c r="I42" s="2" t="n"/>
      <c r="J42" s="2" t="n"/>
      <c r="K42" s="2" t="n"/>
    </row>
    <row r="43" ht="14.25" customHeight="1" s="46">
      <c r="A43" s="2" t="n"/>
      <c r="B43" s="2" t="n"/>
      <c r="C43" s="2" t="n"/>
      <c r="D43" s="2" t="n"/>
      <c r="E43" s="2" t="n"/>
      <c r="F43" s="2" t="n"/>
      <c r="G43" s="2" t="n"/>
      <c r="H43" s="2" t="n"/>
      <c r="I43" s="2" t="n"/>
      <c r="J43" s="2" t="n"/>
      <c r="K43" s="2" t="n"/>
    </row>
    <row r="44" ht="14.25" customHeight="1" s="46">
      <c r="A44" s="2" t="n"/>
      <c r="B44" s="2" t="n"/>
      <c r="C44" s="2" t="n"/>
      <c r="D44" s="2" t="n"/>
      <c r="E44" s="2" t="n"/>
      <c r="F44" s="2" t="n"/>
      <c r="G44" s="2" t="n"/>
      <c r="H44" s="2" t="n"/>
      <c r="I44" s="2" t="n"/>
      <c r="J44" s="2" t="n"/>
      <c r="K44" s="2" t="n"/>
    </row>
    <row r="45" ht="14.25" customHeight="1" s="46">
      <c r="A45" s="2" t="n"/>
      <c r="B45" s="2" t="n"/>
      <c r="C45" s="2" t="n"/>
      <c r="D45" s="2" t="n"/>
      <c r="E45" s="2" t="n"/>
      <c r="F45" s="2" t="n"/>
      <c r="G45" s="2" t="n"/>
      <c r="H45" s="2" t="n"/>
      <c r="I45" s="2" t="n"/>
      <c r="J45" s="2" t="n"/>
      <c r="K45" s="2" t="n"/>
    </row>
    <row r="46" ht="14.25" customHeight="1" s="46">
      <c r="A46" s="2" t="n"/>
      <c r="B46" s="2" t="n"/>
      <c r="C46" s="2" t="n"/>
      <c r="D46" s="2" t="n"/>
      <c r="E46" s="2" t="n"/>
      <c r="F46" s="2" t="n"/>
      <c r="G46" s="2" t="n"/>
      <c r="H46" s="2" t="n"/>
      <c r="I46" s="2" t="n"/>
      <c r="J46" s="2" t="n"/>
      <c r="K46" s="2" t="n"/>
    </row>
    <row r="47" ht="14.25" customHeight="1" s="46">
      <c r="A47" s="2" t="n"/>
      <c r="B47" s="2" t="n"/>
      <c r="C47" s="2" t="n"/>
      <c r="D47" s="2" t="n"/>
      <c r="E47" s="2" t="n"/>
      <c r="F47" s="2" t="n"/>
      <c r="G47" s="2" t="n"/>
      <c r="H47" s="2" t="n"/>
      <c r="I47" s="2" t="n"/>
      <c r="J47" s="2" t="n"/>
      <c r="K47" s="2" t="n"/>
    </row>
    <row r="48" ht="14.25" customHeight="1" s="46">
      <c r="A48" s="2" t="n"/>
      <c r="B48" s="2" t="n"/>
      <c r="C48" s="2" t="n"/>
      <c r="D48" s="2" t="n"/>
      <c r="E48" s="2" t="n"/>
      <c r="F48" s="2" t="n"/>
      <c r="G48" s="2" t="n"/>
      <c r="H48" s="2" t="n"/>
      <c r="I48" s="2" t="n"/>
      <c r="J48" s="2" t="n"/>
      <c r="K48" s="2" t="n"/>
    </row>
    <row r="49" ht="14.25" customHeight="1" s="46">
      <c r="A49" s="2" t="n"/>
      <c r="B49" s="2" t="n"/>
      <c r="C49" s="2" t="n"/>
      <c r="D49" s="2" t="n"/>
      <c r="E49" s="2" t="n"/>
      <c r="F49" s="2" t="n"/>
      <c r="G49" s="2" t="n"/>
      <c r="H49" s="2" t="n"/>
      <c r="I49" s="2" t="n"/>
      <c r="J49" s="2" t="n"/>
      <c r="K49" s="2" t="n"/>
    </row>
    <row r="50" ht="14.25" customHeight="1" s="46">
      <c r="A50" s="2" t="n"/>
      <c r="B50" s="2" t="n"/>
      <c r="C50" s="2" t="n"/>
      <c r="D50" s="2" t="n"/>
      <c r="E50" s="2" t="n"/>
      <c r="F50" s="2" t="n"/>
      <c r="G50" s="2" t="n"/>
      <c r="H50" s="2" t="n"/>
      <c r="I50" s="2" t="n"/>
      <c r="J50" s="2" t="n"/>
      <c r="K50" s="2" t="n"/>
    </row>
    <row r="51" ht="14.25" customHeight="1" s="46">
      <c r="A51" s="2" t="n"/>
      <c r="B51" s="2" t="n"/>
      <c r="C51" s="2" t="n"/>
      <c r="D51" s="2" t="n"/>
      <c r="E51" s="2" t="n"/>
      <c r="F51" s="2" t="n"/>
      <c r="G51" s="2" t="n"/>
      <c r="H51" s="2" t="n"/>
      <c r="I51" s="2" t="n"/>
      <c r="J51" s="2" t="n"/>
      <c r="K51" s="2" t="n"/>
    </row>
    <row r="52" ht="14.25" customHeight="1" s="46">
      <c r="A52" s="2" t="n"/>
      <c r="B52" s="2" t="n"/>
      <c r="C52" s="2" t="n"/>
      <c r="D52" s="2" t="n"/>
      <c r="E52" s="2" t="n"/>
      <c r="F52" s="2" t="n"/>
      <c r="G52" s="2" t="n"/>
      <c r="H52" s="2" t="n"/>
      <c r="I52" s="2" t="n"/>
      <c r="J52" s="2" t="n"/>
      <c r="K52" s="2" t="n"/>
    </row>
    <row r="53" ht="14.25" customHeight="1" s="46">
      <c r="A53" s="2" t="n"/>
      <c r="B53" s="2" t="n"/>
      <c r="C53" s="2" t="n"/>
      <c r="D53" s="2" t="n"/>
      <c r="E53" s="2" t="n"/>
      <c r="F53" s="2" t="n"/>
      <c r="G53" s="2" t="n"/>
      <c r="H53" s="2" t="n"/>
      <c r="I53" s="2" t="n"/>
      <c r="J53" s="2" t="n"/>
      <c r="K53" s="2" t="n"/>
    </row>
    <row r="54" ht="14.25" customHeight="1" s="46">
      <c r="A54" s="2" t="n"/>
      <c r="B54" s="2" t="n"/>
      <c r="C54" s="2" t="n"/>
      <c r="D54" s="2" t="n"/>
      <c r="E54" s="2" t="n"/>
      <c r="F54" s="2" t="n"/>
      <c r="G54" s="2" t="n"/>
      <c r="H54" s="2" t="n"/>
      <c r="I54" s="2" t="n"/>
      <c r="J54" s="2" t="n"/>
      <c r="K54" s="2" t="n"/>
    </row>
    <row r="55" ht="14.25" customHeight="1" s="46">
      <c r="A55" s="2" t="n"/>
      <c r="B55" s="2" t="n"/>
      <c r="C55" s="2" t="n"/>
      <c r="D55" s="2" t="n"/>
      <c r="E55" s="2" t="n"/>
      <c r="F55" s="2" t="n"/>
      <c r="G55" s="2" t="n"/>
      <c r="H55" s="2" t="n"/>
      <c r="I55" s="2" t="n"/>
      <c r="J55" s="2" t="n"/>
      <c r="K55" s="2" t="n"/>
    </row>
    <row r="56" ht="14.25" customHeight="1" s="46">
      <c r="A56" s="2" t="n"/>
      <c r="B56" s="2" t="n"/>
      <c r="C56" s="2" t="n"/>
      <c r="D56" s="2" t="n"/>
      <c r="E56" s="2" t="n"/>
      <c r="F56" s="2" t="n"/>
      <c r="G56" s="2" t="n"/>
      <c r="H56" s="2" t="n"/>
      <c r="I56" s="2" t="n"/>
      <c r="J56" s="2" t="n"/>
      <c r="K56" s="2" t="n"/>
    </row>
    <row r="57" ht="14.25" customHeight="1" s="46">
      <c r="A57" s="2" t="n"/>
      <c r="B57" s="2" t="n"/>
      <c r="C57" s="2" t="n"/>
      <c r="D57" s="2" t="n"/>
      <c r="E57" s="2" t="n"/>
      <c r="F57" s="2" t="n"/>
      <c r="G57" s="2" t="n"/>
      <c r="H57" s="2" t="n"/>
      <c r="I57" s="2" t="n"/>
      <c r="J57" s="2" t="n"/>
      <c r="K57" s="2" t="n"/>
    </row>
    <row r="58" ht="14.25" customHeight="1" s="46">
      <c r="A58" s="2" t="n"/>
      <c r="B58" s="2" t="n"/>
      <c r="C58" s="2" t="n"/>
      <c r="D58" s="2" t="n"/>
      <c r="E58" s="2" t="n"/>
      <c r="F58" s="2" t="n"/>
      <c r="G58" s="2" t="n"/>
      <c r="H58" s="2" t="n"/>
      <c r="I58" s="2" t="n"/>
      <c r="J58" s="2" t="n"/>
      <c r="K58" s="2" t="n"/>
    </row>
    <row r="59" ht="14.25" customHeight="1" s="46">
      <c r="A59" s="2" t="n"/>
      <c r="B59" s="2" t="n"/>
      <c r="C59" s="2" t="n"/>
      <c r="D59" s="2" t="n"/>
      <c r="E59" s="2" t="n"/>
      <c r="F59" s="2" t="n"/>
      <c r="G59" s="2" t="n"/>
      <c r="H59" s="2" t="n"/>
      <c r="I59" s="2" t="n"/>
      <c r="J59" s="2" t="n"/>
      <c r="K59" s="2" t="n"/>
    </row>
    <row r="60" ht="14.25" customHeight="1" s="46">
      <c r="A60" s="2" t="n"/>
      <c r="B60" s="2" t="n"/>
      <c r="C60" s="2" t="n"/>
      <c r="D60" s="2" t="n"/>
      <c r="E60" s="2" t="n"/>
      <c r="F60" s="2" t="n"/>
      <c r="G60" s="2" t="n"/>
      <c r="H60" s="2" t="n"/>
      <c r="I60" s="2" t="n"/>
      <c r="J60" s="2" t="n"/>
      <c r="K60" s="2" t="n"/>
    </row>
    <row r="61" ht="14.25" customHeight="1" s="46">
      <c r="A61" s="2" t="n"/>
      <c r="B61" s="2" t="n"/>
      <c r="C61" s="2" t="n"/>
      <c r="D61" s="2" t="n"/>
      <c r="E61" s="2" t="n"/>
      <c r="F61" s="2" t="n"/>
      <c r="G61" s="2" t="n"/>
      <c r="H61" s="2" t="n"/>
      <c r="I61" s="2" t="n"/>
      <c r="J61" s="2" t="n"/>
      <c r="K61" s="2" t="n"/>
    </row>
    <row r="62" ht="14.25" customHeight="1" s="46">
      <c r="A62" s="2" t="n"/>
      <c r="B62" s="2" t="n"/>
      <c r="C62" s="2" t="n"/>
      <c r="D62" s="2" t="n"/>
      <c r="E62" s="2" t="n"/>
      <c r="F62" s="2" t="n"/>
      <c r="G62" s="2" t="n"/>
      <c r="H62" s="2" t="n"/>
      <c r="I62" s="2" t="n"/>
      <c r="J62" s="2" t="n"/>
      <c r="K62" s="2" t="n"/>
    </row>
    <row r="63" ht="14.25" customHeight="1" s="46">
      <c r="A63" s="2" t="n"/>
      <c r="B63" s="2" t="n"/>
      <c r="C63" s="2" t="n"/>
      <c r="D63" s="2" t="n"/>
      <c r="E63" s="2" t="n"/>
      <c r="F63" s="2" t="n"/>
      <c r="G63" s="2" t="n"/>
      <c r="H63" s="2" t="n"/>
      <c r="I63" s="2" t="n"/>
      <c r="J63" s="2" t="n"/>
      <c r="K63" s="2" t="n"/>
    </row>
    <row r="64" ht="14.25" customHeight="1" s="46">
      <c r="A64" s="2" t="n"/>
      <c r="B64" s="2" t="n"/>
      <c r="C64" s="2" t="n"/>
      <c r="D64" s="2" t="n"/>
      <c r="E64" s="2" t="n"/>
      <c r="F64" s="2" t="n"/>
      <c r="G64" s="2" t="n"/>
      <c r="H64" s="2" t="n"/>
      <c r="I64" s="2" t="n"/>
      <c r="J64" s="2" t="n"/>
      <c r="K64" s="2" t="n"/>
    </row>
    <row r="65" ht="14.25" customHeight="1" s="46">
      <c r="A65" s="2" t="n"/>
      <c r="B65" s="2" t="n"/>
      <c r="C65" s="2" t="n"/>
      <c r="D65" s="2" t="n"/>
      <c r="E65" s="2" t="n"/>
      <c r="F65" s="2" t="n"/>
      <c r="G65" s="2" t="n"/>
      <c r="H65" s="2" t="n"/>
      <c r="I65" s="2" t="n"/>
      <c r="J65" s="2" t="n"/>
      <c r="K65" s="2" t="n"/>
    </row>
    <row r="66" ht="14.25" customHeight="1" s="46">
      <c r="A66" s="2" t="n"/>
      <c r="B66" s="2" t="n"/>
      <c r="C66" s="2" t="n"/>
      <c r="D66" s="2" t="n"/>
      <c r="E66" s="2" t="n"/>
      <c r="F66" s="2" t="n"/>
      <c r="G66" s="2" t="n"/>
      <c r="H66" s="2" t="n"/>
      <c r="I66" s="2" t="n"/>
      <c r="J66" s="2" t="n"/>
      <c r="K66" s="2" t="n"/>
    </row>
    <row r="67" ht="14.25" customHeight="1" s="46">
      <c r="A67" s="2" t="n"/>
      <c r="B67" s="2" t="n"/>
      <c r="C67" s="2" t="n"/>
      <c r="D67" s="2" t="n"/>
      <c r="E67" s="2" t="n"/>
      <c r="F67" s="2" t="n"/>
      <c r="G67" s="2" t="n"/>
      <c r="H67" s="2" t="n"/>
      <c r="I67" s="2" t="n"/>
      <c r="J67" s="2" t="n"/>
      <c r="K67" s="2" t="n"/>
    </row>
    <row r="68" ht="14.25" customHeight="1" s="46">
      <c r="A68" s="2" t="n"/>
      <c r="B68" s="2" t="n"/>
      <c r="C68" s="2" t="n"/>
      <c r="D68" s="2" t="n"/>
      <c r="E68" s="2" t="n"/>
      <c r="F68" s="2" t="n"/>
      <c r="G68" s="2" t="n"/>
      <c r="H68" s="2" t="n"/>
      <c r="I68" s="2" t="n"/>
      <c r="J68" s="2" t="n"/>
      <c r="K68" s="2" t="n"/>
    </row>
    <row r="69" ht="14.25" customHeight="1" s="46">
      <c r="A69" s="2" t="n"/>
      <c r="B69" s="2" t="n"/>
      <c r="C69" s="2" t="n"/>
      <c r="D69" s="2" t="n"/>
      <c r="E69" s="2" t="n"/>
      <c r="F69" s="2" t="n"/>
      <c r="G69" s="2" t="n"/>
      <c r="H69" s="2" t="n"/>
      <c r="I69" s="2" t="n"/>
      <c r="J69" s="2" t="n"/>
      <c r="K69" s="2" t="n"/>
    </row>
    <row r="70" ht="14.25" customHeight="1" s="46">
      <c r="A70" s="2" t="n"/>
      <c r="B70" s="2" t="n"/>
      <c r="C70" s="2" t="n"/>
      <c r="D70" s="2" t="n"/>
      <c r="E70" s="2" t="n"/>
      <c r="F70" s="2" t="n"/>
      <c r="G70" s="2" t="n"/>
      <c r="H70" s="2" t="n"/>
      <c r="I70" s="2" t="n"/>
      <c r="J70" s="2" t="n"/>
      <c r="K70" s="2" t="n"/>
    </row>
    <row r="71" ht="14.25" customHeight="1" s="46">
      <c r="A71" s="2" t="n"/>
      <c r="B71" s="2" t="n"/>
      <c r="C71" s="2" t="n"/>
      <c r="D71" s="2" t="n"/>
      <c r="E71" s="2" t="n"/>
      <c r="F71" s="2" t="n"/>
      <c r="G71" s="2" t="n"/>
      <c r="H71" s="2" t="n"/>
      <c r="I71" s="2" t="n"/>
      <c r="J71" s="2" t="n"/>
      <c r="K71" s="2" t="n"/>
    </row>
    <row r="72" ht="14.25" customHeight="1" s="46">
      <c r="A72" s="2" t="n"/>
      <c r="B72" s="2" t="n"/>
      <c r="C72" s="2" t="n"/>
      <c r="D72" s="2" t="n"/>
      <c r="E72" s="2" t="n"/>
      <c r="F72" s="2" t="n"/>
      <c r="G72" s="2" t="n"/>
      <c r="H72" s="2" t="n"/>
      <c r="I72" s="2" t="n"/>
      <c r="J72" s="2" t="n"/>
      <c r="K72" s="2" t="n"/>
    </row>
    <row r="73" ht="14.25" customHeight="1" s="46">
      <c r="A73" s="2" t="n"/>
      <c r="B73" s="2" t="n"/>
      <c r="C73" s="2" t="n"/>
      <c r="D73" s="2" t="n"/>
      <c r="E73" s="2" t="n"/>
      <c r="F73" s="2" t="n"/>
      <c r="G73" s="2" t="n"/>
      <c r="H73" s="2" t="n"/>
      <c r="I73" s="2" t="n"/>
      <c r="J73" s="2" t="n"/>
      <c r="K73" s="2" t="n"/>
    </row>
    <row r="74" ht="14.25" customHeight="1" s="46">
      <c r="A74" s="2" t="n"/>
      <c r="B74" s="2" t="n"/>
      <c r="C74" s="2" t="n"/>
      <c r="D74" s="2" t="n"/>
      <c r="E74" s="2" t="n"/>
      <c r="F74" s="2" t="n"/>
      <c r="G74" s="2" t="n"/>
      <c r="H74" s="2" t="n"/>
      <c r="I74" s="2" t="n"/>
      <c r="J74" s="2" t="n"/>
      <c r="K74" s="2" t="n"/>
    </row>
    <row r="75" ht="14.25" customHeight="1" s="46">
      <c r="A75" s="2" t="n"/>
      <c r="B75" s="2" t="n"/>
      <c r="C75" s="2" t="n"/>
      <c r="D75" s="2" t="n"/>
      <c r="E75" s="2" t="n"/>
      <c r="F75" s="2" t="n"/>
      <c r="G75" s="2" t="n"/>
      <c r="H75" s="2" t="n"/>
      <c r="I75" s="2" t="n"/>
      <c r="J75" s="2" t="n"/>
      <c r="K75" s="2" t="n"/>
    </row>
    <row r="76" ht="14.25" customHeight="1" s="46">
      <c r="A76" s="2" t="n"/>
      <c r="B76" s="2" t="n"/>
      <c r="C76" s="2" t="n"/>
      <c r="D76" s="2" t="n"/>
      <c r="E76" s="2" t="n"/>
      <c r="F76" s="2" t="n"/>
      <c r="G76" s="2" t="n"/>
      <c r="H76" s="2" t="n"/>
      <c r="I76" s="2" t="n"/>
      <c r="J76" s="2" t="n"/>
      <c r="K76" s="2" t="n"/>
    </row>
    <row r="77" ht="14.25" customHeight="1" s="46">
      <c r="A77" s="2" t="n"/>
      <c r="B77" s="2" t="n"/>
      <c r="C77" s="2" t="n"/>
      <c r="D77" s="2" t="n"/>
      <c r="E77" s="2" t="n"/>
      <c r="F77" s="2" t="n"/>
      <c r="G77" s="2" t="n"/>
      <c r="H77" s="2" t="n"/>
      <c r="I77" s="2" t="n"/>
      <c r="J77" s="2" t="n"/>
      <c r="K77" s="2" t="n"/>
    </row>
    <row r="78" ht="14.25" customHeight="1" s="46">
      <c r="A78" s="2" t="n"/>
      <c r="B78" s="2" t="n"/>
      <c r="C78" s="2" t="n"/>
      <c r="D78" s="2" t="n"/>
      <c r="E78" s="2" t="n"/>
      <c r="F78" s="2" t="n"/>
      <c r="G78" s="2" t="n"/>
      <c r="H78" s="2" t="n"/>
      <c r="I78" s="2" t="n"/>
      <c r="J78" s="2" t="n"/>
      <c r="K78" s="2" t="n"/>
    </row>
    <row r="79" ht="14.25" customHeight="1" s="46">
      <c r="A79" s="2" t="n"/>
      <c r="B79" s="2" t="n"/>
      <c r="C79" s="2" t="n"/>
      <c r="D79" s="2" t="n"/>
      <c r="E79" s="2" t="n"/>
      <c r="F79" s="2" t="n"/>
      <c r="G79" s="2" t="n"/>
      <c r="H79" s="2" t="n"/>
      <c r="I79" s="2" t="n"/>
      <c r="J79" s="2" t="n"/>
      <c r="K79" s="2" t="n"/>
    </row>
    <row r="80" ht="14.25" customHeight="1" s="46">
      <c r="A80" s="2" t="n"/>
      <c r="B80" s="2" t="n"/>
      <c r="C80" s="2" t="n"/>
      <c r="D80" s="2" t="n"/>
      <c r="E80" s="2" t="n"/>
      <c r="F80" s="2" t="n"/>
      <c r="G80" s="2" t="n"/>
      <c r="H80" s="2" t="n"/>
      <c r="I80" s="2" t="n"/>
      <c r="J80" s="2" t="n"/>
      <c r="K80" s="2" t="n"/>
    </row>
    <row r="81" ht="14.25" customHeight="1" s="46">
      <c r="A81" s="2" t="n"/>
      <c r="B81" s="2" t="n"/>
      <c r="C81" s="2" t="n"/>
      <c r="D81" s="2" t="n"/>
      <c r="E81" s="2" t="n"/>
      <c r="F81" s="2" t="n"/>
      <c r="G81" s="2" t="n"/>
      <c r="H81" s="2" t="n"/>
      <c r="I81" s="2" t="n"/>
      <c r="J81" s="2" t="n"/>
      <c r="K81" s="2" t="n"/>
    </row>
    <row r="82" ht="14.25" customHeight="1" s="46">
      <c r="A82" s="2" t="n"/>
      <c r="B82" s="2" t="n"/>
      <c r="C82" s="2" t="n"/>
      <c r="D82" s="2" t="n"/>
      <c r="E82" s="2" t="n"/>
      <c r="F82" s="2" t="n"/>
      <c r="G82" s="2" t="n"/>
      <c r="H82" s="2" t="n"/>
      <c r="I82" s="2" t="n"/>
      <c r="J82" s="2" t="n"/>
      <c r="K82" s="2" t="n"/>
    </row>
    <row r="83" ht="14.25" customHeight="1" s="46">
      <c r="A83" s="2" t="n"/>
      <c r="B83" s="2" t="n"/>
      <c r="C83" s="2" t="n"/>
      <c r="D83" s="2" t="n"/>
      <c r="E83" s="2" t="n"/>
      <c r="F83" s="2" t="n"/>
      <c r="G83" s="2" t="n"/>
      <c r="H83" s="2" t="n"/>
      <c r="I83" s="2" t="n"/>
      <c r="J83" s="2" t="n"/>
      <c r="K83" s="2" t="n"/>
    </row>
    <row r="84" ht="14.25" customHeight="1" s="46">
      <c r="A84" s="2" t="n"/>
      <c r="B84" s="2" t="n"/>
      <c r="C84" s="2" t="n"/>
      <c r="D84" s="2" t="n"/>
      <c r="E84" s="2" t="n"/>
      <c r="F84" s="2" t="n"/>
      <c r="G84" s="2" t="n"/>
      <c r="H84" s="2" t="n"/>
      <c r="I84" s="2" t="n"/>
      <c r="J84" s="2" t="n"/>
      <c r="K84" s="2" t="n"/>
    </row>
    <row r="85" ht="14.25" customHeight="1" s="46">
      <c r="A85" s="2" t="n"/>
      <c r="B85" s="2" t="n"/>
      <c r="C85" s="2" t="n"/>
      <c r="D85" s="2" t="n"/>
      <c r="E85" s="2" t="n"/>
      <c r="F85" s="2" t="n"/>
      <c r="G85" s="2" t="n"/>
      <c r="H85" s="2" t="n"/>
      <c r="I85" s="2" t="n"/>
      <c r="J85" s="2" t="n"/>
      <c r="K85" s="2" t="n"/>
    </row>
    <row r="86" ht="14.25" customHeight="1" s="46">
      <c r="A86" s="2" t="n"/>
      <c r="B86" s="2" t="n"/>
      <c r="C86" s="2" t="n"/>
      <c r="D86" s="2" t="n"/>
      <c r="E86" s="2" t="n"/>
      <c r="F86" s="2" t="n"/>
      <c r="G86" s="2" t="n"/>
      <c r="H86" s="2" t="n"/>
      <c r="I86" s="2" t="n"/>
      <c r="J86" s="2" t="n"/>
      <c r="K86" s="2" t="n"/>
    </row>
    <row r="87" ht="14.25" customHeight="1" s="46">
      <c r="A87" s="2" t="n"/>
      <c r="B87" s="2" t="n"/>
      <c r="C87" s="2" t="n"/>
      <c r="D87" s="2" t="n"/>
      <c r="E87" s="2" t="n"/>
      <c r="F87" s="2" t="n"/>
      <c r="G87" s="2" t="n"/>
      <c r="H87" s="2" t="n"/>
      <c r="I87" s="2" t="n"/>
      <c r="J87" s="2" t="n"/>
      <c r="K87" s="2" t="n"/>
    </row>
    <row r="88" ht="14.25" customHeight="1" s="46">
      <c r="A88" s="2" t="n"/>
      <c r="B88" s="2" t="n"/>
      <c r="C88" s="2" t="n"/>
      <c r="D88" s="2" t="n"/>
      <c r="E88" s="2" t="n"/>
      <c r="F88" s="2" t="n"/>
      <c r="G88" s="2" t="n"/>
      <c r="H88" s="2" t="n"/>
      <c r="I88" s="2" t="n"/>
      <c r="J88" s="2" t="n"/>
      <c r="K88" s="2" t="n"/>
    </row>
    <row r="89" ht="14.25" customHeight="1" s="46">
      <c r="A89" s="2" t="n"/>
      <c r="B89" s="2" t="n"/>
      <c r="C89" s="2" t="n"/>
      <c r="D89" s="2" t="n"/>
      <c r="E89" s="2" t="n"/>
      <c r="F89" s="2" t="n"/>
      <c r="G89" s="2" t="n"/>
      <c r="H89" s="2" t="n"/>
      <c r="I89" s="2" t="n"/>
      <c r="J89" s="2" t="n"/>
      <c r="K89" s="2" t="n"/>
    </row>
    <row r="90" ht="14.25" customHeight="1" s="46">
      <c r="A90" s="2" t="n"/>
      <c r="B90" s="2" t="n"/>
      <c r="C90" s="2" t="n"/>
      <c r="D90" s="2" t="n"/>
      <c r="E90" s="2" t="n"/>
      <c r="F90" s="2" t="n"/>
      <c r="G90" s="2" t="n"/>
      <c r="H90" s="2" t="n"/>
      <c r="I90" s="2" t="n"/>
      <c r="J90" s="2" t="n"/>
      <c r="K90" s="2" t="n"/>
    </row>
    <row r="91" ht="14.25" customHeight="1" s="46">
      <c r="A91" s="2" t="n"/>
      <c r="B91" s="2" t="n"/>
      <c r="C91" s="2" t="n"/>
      <c r="D91" s="2" t="n"/>
      <c r="E91" s="2" t="n"/>
      <c r="F91" s="2" t="n"/>
      <c r="G91" s="2" t="n"/>
      <c r="H91" s="2" t="n"/>
      <c r="I91" s="2" t="n"/>
      <c r="J91" s="2" t="n"/>
      <c r="K91" s="2" t="n"/>
    </row>
    <row r="92" ht="14.25" customHeight="1" s="46">
      <c r="A92" s="2" t="n"/>
      <c r="B92" s="2" t="n"/>
      <c r="C92" s="2" t="n"/>
      <c r="D92" s="2" t="n"/>
      <c r="E92" s="2" t="n"/>
      <c r="F92" s="2" t="n"/>
      <c r="G92" s="2" t="n"/>
      <c r="H92" s="2" t="n"/>
      <c r="I92" s="2" t="n"/>
      <c r="J92" s="2" t="n"/>
      <c r="K92" s="2" t="n"/>
    </row>
    <row r="93" ht="14.25" customHeight="1" s="46">
      <c r="A93" s="2" t="n"/>
      <c r="B93" s="2" t="n"/>
      <c r="C93" s="2" t="n"/>
      <c r="D93" s="2" t="n"/>
      <c r="E93" s="2" t="n"/>
      <c r="F93" s="2" t="n"/>
      <c r="G93" s="2" t="n"/>
      <c r="H93" s="2" t="n"/>
      <c r="I93" s="2" t="n"/>
      <c r="J93" s="2" t="n"/>
      <c r="K93" s="2" t="n"/>
    </row>
    <row r="94" ht="14.25" customHeight="1" s="46">
      <c r="A94" s="2" t="n"/>
      <c r="B94" s="2" t="n"/>
      <c r="C94" s="2" t="n"/>
      <c r="D94" s="2" t="n"/>
      <c r="E94" s="2" t="n"/>
      <c r="F94" s="2" t="n"/>
      <c r="G94" s="2" t="n"/>
      <c r="H94" s="2" t="n"/>
      <c r="I94" s="2" t="n"/>
      <c r="J94" s="2" t="n"/>
      <c r="K94" s="2" t="n"/>
    </row>
    <row r="95" ht="14.25" customHeight="1" s="46">
      <c r="A95" s="2" t="n"/>
      <c r="B95" s="2" t="n"/>
      <c r="C95" s="2" t="n"/>
      <c r="D95" s="2" t="n"/>
      <c r="E95" s="2" t="n"/>
      <c r="F95" s="2" t="n"/>
      <c r="G95" s="2" t="n"/>
      <c r="H95" s="2" t="n"/>
      <c r="I95" s="2" t="n"/>
      <c r="J95" s="2" t="n"/>
      <c r="K95" s="2" t="n"/>
    </row>
    <row r="96" ht="14.25" customHeight="1" s="46">
      <c r="A96" s="2" t="n"/>
      <c r="B96" s="2" t="n"/>
      <c r="C96" s="2" t="n"/>
      <c r="D96" s="2" t="n"/>
      <c r="E96" s="2" t="n"/>
      <c r="F96" s="2" t="n"/>
      <c r="G96" s="2" t="n"/>
      <c r="H96" s="2" t="n"/>
      <c r="I96" s="2" t="n"/>
      <c r="J96" s="2" t="n"/>
      <c r="K96" s="2" t="n"/>
    </row>
    <row r="97" ht="14.25" customHeight="1" s="46">
      <c r="A97" s="2" t="n"/>
      <c r="B97" s="2" t="n"/>
      <c r="C97" s="2" t="n"/>
      <c r="D97" s="2" t="n"/>
      <c r="E97" s="2" t="n"/>
      <c r="F97" s="2" t="n"/>
      <c r="G97" s="2" t="n"/>
      <c r="H97" s="2" t="n"/>
      <c r="I97" s="2" t="n"/>
      <c r="J97" s="2" t="n"/>
      <c r="K97" s="2" t="n"/>
    </row>
    <row r="98" ht="14.25" customHeight="1" s="46">
      <c r="A98" s="2" t="n"/>
      <c r="B98" s="2" t="n"/>
      <c r="C98" s="2" t="n"/>
      <c r="D98" s="2" t="n"/>
      <c r="E98" s="2" t="n"/>
      <c r="F98" s="2" t="n"/>
      <c r="G98" s="2" t="n"/>
      <c r="H98" s="2" t="n"/>
      <c r="I98" s="2" t="n"/>
      <c r="J98" s="2" t="n"/>
      <c r="K98" s="2" t="n"/>
    </row>
    <row r="99" ht="14.25" customHeight="1" s="46">
      <c r="A99" s="2" t="n"/>
      <c r="B99" s="2" t="n"/>
      <c r="C99" s="2" t="n"/>
      <c r="D99" s="2" t="n"/>
      <c r="E99" s="2" t="n"/>
      <c r="F99" s="2" t="n"/>
      <c r="G99" s="2" t="n"/>
      <c r="H99" s="2" t="n"/>
      <c r="I99" s="2" t="n"/>
      <c r="J99" s="2" t="n"/>
      <c r="K99" s="2" t="n"/>
    </row>
    <row r="100" ht="14.25" customHeight="1" s="46">
      <c r="A100" s="2" t="n"/>
      <c r="B100" s="2" t="n"/>
      <c r="C100" s="2" t="n"/>
      <c r="D100" s="2" t="n"/>
      <c r="E100" s="2" t="n"/>
      <c r="F100" s="2" t="n"/>
      <c r="G100" s="2" t="n"/>
      <c r="H100" s="2" t="n"/>
      <c r="I100" s="2" t="n"/>
      <c r="J100" s="2" t="n"/>
      <c r="K100" s="2" t="n"/>
    </row>
    <row r="101" ht="14.25" customHeight="1" s="46">
      <c r="A101" s="2" t="n"/>
      <c r="B101" s="2" t="n"/>
      <c r="C101" s="2" t="n"/>
      <c r="D101" s="2" t="n"/>
      <c r="E101" s="2" t="n"/>
      <c r="F101" s="2" t="n"/>
      <c r="G101" s="2" t="n"/>
      <c r="H101" s="2" t="n"/>
      <c r="I101" s="2" t="n"/>
      <c r="J101" s="2" t="n"/>
      <c r="K101" s="2" t="n"/>
    </row>
    <row r="102" ht="14.25" customHeight="1" s="46">
      <c r="A102" s="2" t="n"/>
      <c r="B102" s="2" t="n"/>
      <c r="C102" s="2" t="n"/>
      <c r="D102" s="2" t="n"/>
      <c r="E102" s="2" t="n"/>
      <c r="F102" s="2" t="n"/>
      <c r="G102" s="2" t="n"/>
      <c r="H102" s="2" t="n"/>
      <c r="I102" s="2" t="n"/>
      <c r="J102" s="2" t="n"/>
      <c r="K102" s="2" t="n"/>
    </row>
    <row r="103" ht="14.25" customHeight="1" s="46">
      <c r="A103" s="2" t="n"/>
      <c r="B103" s="2" t="n"/>
      <c r="C103" s="2" t="n"/>
      <c r="D103" s="2" t="n"/>
      <c r="E103" s="2" t="n"/>
      <c r="F103" s="2" t="n"/>
      <c r="G103" s="2" t="n"/>
      <c r="H103" s="2" t="n"/>
      <c r="I103" s="2" t="n"/>
      <c r="J103" s="2" t="n"/>
      <c r="K103" s="2" t="n"/>
    </row>
    <row r="104" ht="14.25" customHeight="1" s="46">
      <c r="A104" s="2" t="n"/>
      <c r="B104" s="2" t="n"/>
      <c r="C104" s="2" t="n"/>
      <c r="D104" s="2" t="n"/>
      <c r="E104" s="2" t="n"/>
      <c r="F104" s="2" t="n"/>
      <c r="G104" s="2" t="n"/>
      <c r="H104" s="2" t="n"/>
      <c r="I104" s="2" t="n"/>
      <c r="J104" s="2" t="n"/>
      <c r="K104" s="2" t="n"/>
    </row>
    <row r="105" ht="14.25" customHeight="1" s="46">
      <c r="A105" s="2" t="n"/>
      <c r="B105" s="2" t="n"/>
      <c r="C105" s="2" t="n"/>
      <c r="D105" s="2" t="n"/>
      <c r="E105" s="2" t="n"/>
      <c r="F105" s="2" t="n"/>
      <c r="G105" s="2" t="n"/>
      <c r="H105" s="2" t="n"/>
      <c r="I105" s="2" t="n"/>
      <c r="J105" s="2" t="n"/>
      <c r="K105" s="2" t="n"/>
    </row>
    <row r="106" ht="14.25" customHeight="1" s="46">
      <c r="A106" s="2" t="n"/>
      <c r="B106" s="2" t="n"/>
      <c r="C106" s="2" t="n"/>
      <c r="D106" s="2" t="n"/>
      <c r="E106" s="2" t="n"/>
      <c r="F106" s="2" t="n"/>
      <c r="G106" s="2" t="n"/>
      <c r="H106" s="2" t="n"/>
      <c r="I106" s="2" t="n"/>
      <c r="J106" s="2" t="n"/>
      <c r="K106" s="2" t="n"/>
    </row>
    <row r="107" ht="14.25" customHeight="1" s="46">
      <c r="A107" s="2" t="n"/>
      <c r="B107" s="2" t="n"/>
      <c r="C107" s="2" t="n"/>
      <c r="D107" s="2" t="n"/>
      <c r="E107" s="2" t="n"/>
      <c r="F107" s="2" t="n"/>
      <c r="G107" s="2" t="n"/>
      <c r="H107" s="2" t="n"/>
      <c r="I107" s="2" t="n"/>
      <c r="J107" s="2" t="n"/>
      <c r="K107" s="2" t="n"/>
    </row>
    <row r="108" ht="14.25" customHeight="1" s="46">
      <c r="A108" s="2" t="n"/>
      <c r="B108" s="2" t="n"/>
      <c r="C108" s="2" t="n"/>
      <c r="D108" s="2" t="n"/>
      <c r="E108" s="2" t="n"/>
      <c r="F108" s="2" t="n"/>
      <c r="G108" s="2" t="n"/>
      <c r="H108" s="2" t="n"/>
      <c r="I108" s="2" t="n"/>
      <c r="J108" s="2" t="n"/>
      <c r="K108" s="2" t="n"/>
    </row>
    <row r="109" ht="14.25" customHeight="1" s="46">
      <c r="A109" s="2" t="n"/>
      <c r="B109" s="2" t="n"/>
      <c r="C109" s="2" t="n"/>
      <c r="D109" s="2" t="n"/>
      <c r="E109" s="2" t="n"/>
      <c r="F109" s="2" t="n"/>
      <c r="G109" s="2" t="n"/>
      <c r="H109" s="2" t="n"/>
      <c r="I109" s="2" t="n"/>
      <c r="J109" s="2" t="n"/>
      <c r="K109" s="2" t="n"/>
    </row>
    <row r="110" ht="14.25" customHeight="1" s="46">
      <c r="A110" s="2" t="n"/>
      <c r="B110" s="2" t="n"/>
      <c r="C110" s="2" t="n"/>
      <c r="D110" s="2" t="n"/>
      <c r="E110" s="2" t="n"/>
      <c r="F110" s="2" t="n"/>
      <c r="G110" s="2" t="n"/>
      <c r="H110" s="2" t="n"/>
      <c r="I110" s="2" t="n"/>
      <c r="J110" s="2" t="n"/>
      <c r="K110" s="2" t="n"/>
    </row>
    <row r="111" ht="14.25" customHeight="1" s="46">
      <c r="A111" s="2" t="n"/>
      <c r="B111" s="2" t="n"/>
      <c r="C111" s="2" t="n"/>
      <c r="D111" s="2" t="n"/>
      <c r="E111" s="2" t="n"/>
      <c r="F111" s="2" t="n"/>
      <c r="G111" s="2" t="n"/>
      <c r="H111" s="2" t="n"/>
      <c r="I111" s="2" t="n"/>
      <c r="J111" s="2" t="n"/>
      <c r="K111" s="2" t="n"/>
    </row>
    <row r="112" ht="14.25" customHeight="1" s="46">
      <c r="A112" s="2" t="n"/>
      <c r="B112" s="2" t="n"/>
      <c r="C112" s="2" t="n"/>
      <c r="D112" s="2" t="n"/>
      <c r="E112" s="2" t="n"/>
      <c r="F112" s="2" t="n"/>
      <c r="G112" s="2" t="n"/>
      <c r="H112" s="2" t="n"/>
      <c r="I112" s="2" t="n"/>
      <c r="J112" s="2" t="n"/>
      <c r="K112" s="2" t="n"/>
    </row>
    <row r="113" ht="14.25" customHeight="1" s="46">
      <c r="A113" s="2" t="n"/>
      <c r="B113" s="2" t="n"/>
      <c r="C113" s="2" t="n"/>
      <c r="D113" s="2" t="n"/>
      <c r="E113" s="2" t="n"/>
      <c r="F113" s="2" t="n"/>
      <c r="G113" s="2" t="n"/>
      <c r="H113" s="2" t="n"/>
      <c r="I113" s="2" t="n"/>
      <c r="J113" s="2" t="n"/>
      <c r="K113" s="2" t="n"/>
    </row>
    <row r="114" ht="14.25" customHeight="1" s="46">
      <c r="A114" s="2" t="n"/>
      <c r="B114" s="2" t="n"/>
      <c r="C114" s="2" t="n"/>
      <c r="D114" s="2" t="n"/>
      <c r="E114" s="2" t="n"/>
      <c r="F114" s="2" t="n"/>
      <c r="G114" s="2" t="n"/>
      <c r="H114" s="2" t="n"/>
      <c r="I114" s="2" t="n"/>
      <c r="J114" s="2" t="n"/>
      <c r="K114" s="2" t="n"/>
    </row>
    <row r="115" ht="14.25" customHeight="1" s="46">
      <c r="A115" s="2" t="n"/>
      <c r="B115" s="2" t="n"/>
      <c r="C115" s="2" t="n"/>
      <c r="D115" s="2" t="n"/>
      <c r="E115" s="2" t="n"/>
      <c r="F115" s="2" t="n"/>
      <c r="G115" s="2" t="n"/>
      <c r="H115" s="2" t="n"/>
      <c r="I115" s="2" t="n"/>
      <c r="J115" s="2" t="n"/>
      <c r="K115" s="2" t="n"/>
    </row>
    <row r="116" ht="14.25" customHeight="1" s="46">
      <c r="A116" s="2" t="n"/>
      <c r="B116" s="2" t="n"/>
      <c r="C116" s="2" t="n"/>
      <c r="D116" s="2" t="n"/>
      <c r="E116" s="2" t="n"/>
      <c r="F116" s="2" t="n"/>
      <c r="G116" s="2" t="n"/>
      <c r="H116" s="2" t="n"/>
      <c r="I116" s="2" t="n"/>
      <c r="J116" s="2" t="n"/>
      <c r="K116" s="2" t="n"/>
    </row>
    <row r="117" ht="14.25" customHeight="1" s="46">
      <c r="A117" s="2" t="n"/>
      <c r="B117" s="2" t="n"/>
      <c r="C117" s="2" t="n"/>
      <c r="D117" s="2" t="n"/>
      <c r="E117" s="2" t="n"/>
      <c r="F117" s="2" t="n"/>
      <c r="G117" s="2" t="n"/>
      <c r="H117" s="2" t="n"/>
      <c r="I117" s="2" t="n"/>
      <c r="J117" s="2" t="n"/>
      <c r="K117" s="2" t="n"/>
    </row>
    <row r="118" ht="14.25" customHeight="1" s="46">
      <c r="A118" s="2" t="n"/>
      <c r="B118" s="2" t="n"/>
      <c r="C118" s="2" t="n"/>
      <c r="D118" s="2" t="n"/>
      <c r="E118" s="2" t="n"/>
      <c r="F118" s="2" t="n"/>
      <c r="G118" s="2" t="n"/>
      <c r="H118" s="2" t="n"/>
      <c r="I118" s="2" t="n"/>
      <c r="J118" s="2" t="n"/>
      <c r="K118" s="2" t="n"/>
    </row>
    <row r="119" ht="14.25" customHeight="1" s="46">
      <c r="A119" s="2" t="n"/>
      <c r="B119" s="2" t="n"/>
      <c r="C119" s="2" t="n"/>
      <c r="D119" s="2" t="n"/>
      <c r="E119" s="2" t="n"/>
      <c r="F119" s="2" t="n"/>
      <c r="G119" s="2" t="n"/>
      <c r="H119" s="2" t="n"/>
      <c r="I119" s="2" t="n"/>
      <c r="J119" s="2" t="n"/>
      <c r="K119" s="2" t="n"/>
    </row>
    <row r="120" ht="14.25" customHeight="1" s="46">
      <c r="A120" s="2" t="n"/>
      <c r="B120" s="2" t="n"/>
      <c r="C120" s="2" t="n"/>
      <c r="D120" s="2" t="n"/>
      <c r="E120" s="2" t="n"/>
      <c r="F120" s="2" t="n"/>
      <c r="G120" s="2" t="n"/>
      <c r="H120" s="2" t="n"/>
      <c r="I120" s="2" t="n"/>
      <c r="J120" s="2" t="n"/>
      <c r="K120" s="2" t="n"/>
    </row>
    <row r="121" ht="14.25" customHeight="1" s="46">
      <c r="A121" s="2" t="n"/>
      <c r="B121" s="2" t="n"/>
      <c r="C121" s="2" t="n"/>
      <c r="D121" s="2" t="n"/>
      <c r="E121" s="2" t="n"/>
      <c r="F121" s="2" t="n"/>
      <c r="G121" s="2" t="n"/>
      <c r="H121" s="2" t="n"/>
      <c r="I121" s="2" t="n"/>
      <c r="J121" s="2" t="n"/>
      <c r="K121" s="2" t="n"/>
    </row>
    <row r="122" ht="14.25" customHeight="1" s="46">
      <c r="A122" s="2" t="n"/>
      <c r="B122" s="2" t="n"/>
      <c r="C122" s="2" t="n"/>
      <c r="D122" s="2" t="n"/>
      <c r="E122" s="2" t="n"/>
      <c r="F122" s="2" t="n"/>
      <c r="G122" s="2" t="n"/>
      <c r="H122" s="2" t="n"/>
      <c r="I122" s="2" t="n"/>
      <c r="J122" s="2" t="n"/>
      <c r="K122" s="2" t="n"/>
    </row>
    <row r="123" ht="14.25" customHeight="1" s="46">
      <c r="A123" s="2" t="n"/>
      <c r="B123" s="2" t="n"/>
      <c r="C123" s="2" t="n"/>
      <c r="D123" s="2" t="n"/>
      <c r="E123" s="2" t="n"/>
      <c r="F123" s="2" t="n"/>
      <c r="G123" s="2" t="n"/>
      <c r="H123" s="2" t="n"/>
      <c r="I123" s="2" t="n"/>
      <c r="J123" s="2" t="n"/>
      <c r="K123" s="2" t="n"/>
    </row>
    <row r="124" ht="14.25" customHeight="1" s="46">
      <c r="A124" s="2" t="n"/>
      <c r="B124" s="2" t="n"/>
      <c r="C124" s="2" t="n"/>
      <c r="D124" s="2" t="n"/>
      <c r="E124" s="2" t="n"/>
      <c r="F124" s="2" t="n"/>
      <c r="G124" s="2" t="n"/>
      <c r="H124" s="2" t="n"/>
      <c r="I124" s="2" t="n"/>
      <c r="J124" s="2" t="n"/>
      <c r="K124" s="2" t="n"/>
    </row>
    <row r="125" ht="14.25" customHeight="1" s="46">
      <c r="A125" s="2" t="n"/>
      <c r="B125" s="2" t="n"/>
      <c r="C125" s="2" t="n"/>
      <c r="D125" s="2" t="n"/>
      <c r="E125" s="2" t="n"/>
      <c r="F125" s="2" t="n"/>
      <c r="G125" s="2" t="n"/>
      <c r="H125" s="2" t="n"/>
      <c r="I125" s="2" t="n"/>
      <c r="J125" s="2" t="n"/>
      <c r="K125" s="2" t="n"/>
    </row>
    <row r="126" ht="14.25" customHeight="1" s="46">
      <c r="A126" s="2" t="n"/>
      <c r="B126" s="2" t="n"/>
      <c r="C126" s="2" t="n"/>
      <c r="D126" s="2" t="n"/>
      <c r="E126" s="2" t="n"/>
      <c r="F126" s="2" t="n"/>
      <c r="G126" s="2" t="n"/>
      <c r="H126" s="2" t="n"/>
      <c r="I126" s="2" t="n"/>
      <c r="J126" s="2" t="n"/>
      <c r="K126" s="2" t="n"/>
    </row>
    <row r="127" ht="14.25" customHeight="1" s="46">
      <c r="A127" s="2" t="n"/>
      <c r="B127" s="2" t="n"/>
      <c r="C127" s="2" t="n"/>
      <c r="D127" s="2" t="n"/>
      <c r="E127" s="2" t="n"/>
      <c r="F127" s="2" t="n"/>
      <c r="G127" s="2" t="n"/>
      <c r="H127" s="2" t="n"/>
      <c r="I127" s="2" t="n"/>
      <c r="J127" s="2" t="n"/>
      <c r="K127" s="2" t="n"/>
    </row>
    <row r="128" ht="14.25" customHeight="1" s="46">
      <c r="A128" s="2" t="n"/>
      <c r="B128" s="2" t="n"/>
      <c r="C128" s="2" t="n"/>
      <c r="D128" s="2" t="n"/>
      <c r="E128" s="2" t="n"/>
      <c r="F128" s="2" t="n"/>
      <c r="G128" s="2" t="n"/>
      <c r="H128" s="2" t="n"/>
      <c r="I128" s="2" t="n"/>
      <c r="J128" s="2" t="n"/>
      <c r="K128" s="2" t="n"/>
    </row>
    <row r="129" ht="14.25" customHeight="1" s="46">
      <c r="A129" s="2" t="n"/>
      <c r="B129" s="2" t="n"/>
      <c r="C129" s="2" t="n"/>
      <c r="D129" s="2" t="n"/>
      <c r="E129" s="2" t="n"/>
      <c r="F129" s="2" t="n"/>
      <c r="G129" s="2" t="n"/>
      <c r="H129" s="2" t="n"/>
      <c r="I129" s="2" t="n"/>
      <c r="J129" s="2" t="n"/>
      <c r="K129" s="2" t="n"/>
    </row>
    <row r="130" ht="14.25" customHeight="1" s="46">
      <c r="A130" s="2" t="n"/>
      <c r="B130" s="2" t="n"/>
      <c r="C130" s="2" t="n"/>
      <c r="D130" s="2" t="n"/>
      <c r="E130" s="2" t="n"/>
      <c r="F130" s="2" t="n"/>
      <c r="G130" s="2" t="n"/>
      <c r="H130" s="2" t="n"/>
      <c r="I130" s="2" t="n"/>
      <c r="J130" s="2" t="n"/>
      <c r="K130" s="2" t="n"/>
    </row>
    <row r="131" ht="14.25" customHeight="1" s="46">
      <c r="A131" s="2" t="n"/>
      <c r="B131" s="2" t="n"/>
      <c r="C131" s="2" t="n"/>
      <c r="D131" s="2" t="n"/>
      <c r="E131" s="2" t="n"/>
      <c r="F131" s="2" t="n"/>
      <c r="G131" s="2" t="n"/>
      <c r="H131" s="2" t="n"/>
      <c r="I131" s="2" t="n"/>
      <c r="J131" s="2" t="n"/>
      <c r="K131" s="2" t="n"/>
    </row>
    <row r="132" ht="14.25" customHeight="1" s="46">
      <c r="A132" s="2" t="n"/>
      <c r="B132" s="2" t="n"/>
      <c r="C132" s="2" t="n"/>
      <c r="D132" s="2" t="n"/>
      <c r="E132" s="2" t="n"/>
      <c r="F132" s="2" t="n"/>
      <c r="G132" s="2" t="n"/>
      <c r="H132" s="2" t="n"/>
      <c r="I132" s="2" t="n"/>
      <c r="J132" s="2" t="n"/>
      <c r="K132" s="2" t="n"/>
    </row>
    <row r="133" ht="14.25" customHeight="1" s="46">
      <c r="A133" s="2" t="n"/>
      <c r="B133" s="2" t="n"/>
      <c r="C133" s="2" t="n"/>
      <c r="D133" s="2" t="n"/>
      <c r="E133" s="2" t="n"/>
      <c r="F133" s="2" t="n"/>
      <c r="G133" s="2" t="n"/>
      <c r="H133" s="2" t="n"/>
      <c r="I133" s="2" t="n"/>
      <c r="J133" s="2" t="n"/>
      <c r="K133" s="2" t="n"/>
    </row>
    <row r="134" ht="14.25" customHeight="1" s="46">
      <c r="A134" s="2" t="n"/>
      <c r="B134" s="2" t="n"/>
      <c r="C134" s="2" t="n"/>
      <c r="D134" s="2" t="n"/>
      <c r="E134" s="2" t="n"/>
      <c r="F134" s="2" t="n"/>
      <c r="G134" s="2" t="n"/>
      <c r="H134" s="2" t="n"/>
      <c r="I134" s="2" t="n"/>
      <c r="J134" s="2" t="n"/>
      <c r="K134" s="2" t="n"/>
    </row>
    <row r="135" ht="14.25" customHeight="1" s="46">
      <c r="A135" s="2" t="n"/>
      <c r="B135" s="2" t="n"/>
      <c r="C135" s="2" t="n"/>
      <c r="D135" s="2" t="n"/>
      <c r="E135" s="2" t="n"/>
      <c r="F135" s="2" t="n"/>
      <c r="G135" s="2" t="n"/>
      <c r="H135" s="2" t="n"/>
      <c r="I135" s="2" t="n"/>
      <c r="J135" s="2" t="n"/>
      <c r="K135" s="2" t="n"/>
    </row>
    <row r="136" ht="14.25" customHeight="1" s="46">
      <c r="A136" s="2" t="n"/>
      <c r="B136" s="2" t="n"/>
      <c r="C136" s="2" t="n"/>
      <c r="D136" s="2" t="n"/>
      <c r="E136" s="2" t="n"/>
      <c r="F136" s="2" t="n"/>
      <c r="G136" s="2" t="n"/>
      <c r="H136" s="2" t="n"/>
      <c r="I136" s="2" t="n"/>
      <c r="J136" s="2" t="n"/>
      <c r="K136" s="2" t="n"/>
    </row>
    <row r="137" ht="14.25" customHeight="1" s="46">
      <c r="A137" s="2" t="n"/>
      <c r="B137" s="2" t="n"/>
      <c r="C137" s="2" t="n"/>
      <c r="D137" s="2" t="n"/>
      <c r="E137" s="2" t="n"/>
      <c r="F137" s="2" t="n"/>
      <c r="G137" s="2" t="n"/>
      <c r="H137" s="2" t="n"/>
      <c r="I137" s="2" t="n"/>
      <c r="J137" s="2" t="n"/>
      <c r="K137" s="2" t="n"/>
    </row>
    <row r="138" ht="14.25" customHeight="1" s="46">
      <c r="A138" s="2" t="n"/>
      <c r="B138" s="2" t="n"/>
      <c r="C138" s="2" t="n"/>
      <c r="D138" s="2" t="n"/>
      <c r="E138" s="2" t="n"/>
      <c r="F138" s="2" t="n"/>
      <c r="G138" s="2" t="n"/>
      <c r="H138" s="2" t="n"/>
      <c r="I138" s="2" t="n"/>
      <c r="J138" s="2" t="n"/>
      <c r="K138" s="2" t="n"/>
    </row>
    <row r="139" ht="14.25" customHeight="1" s="46">
      <c r="A139" s="2" t="n"/>
      <c r="B139" s="2" t="n"/>
      <c r="C139" s="2" t="n"/>
      <c r="D139" s="2" t="n"/>
      <c r="E139" s="2" t="n"/>
      <c r="F139" s="2" t="n"/>
      <c r="G139" s="2" t="n"/>
      <c r="H139" s="2" t="n"/>
      <c r="I139" s="2" t="n"/>
      <c r="J139" s="2" t="n"/>
      <c r="K139" s="2" t="n"/>
    </row>
    <row r="140" ht="14.25" customHeight="1" s="46">
      <c r="A140" s="2" t="n"/>
      <c r="B140" s="2" t="n"/>
      <c r="C140" s="2" t="n"/>
      <c r="D140" s="2" t="n"/>
      <c r="E140" s="2" t="n"/>
      <c r="F140" s="2" t="n"/>
      <c r="G140" s="2" t="n"/>
      <c r="H140" s="2" t="n"/>
      <c r="I140" s="2" t="n"/>
      <c r="J140" s="2" t="n"/>
      <c r="K140" s="2" t="n"/>
    </row>
    <row r="141" ht="14.25" customHeight="1" s="46">
      <c r="A141" s="2" t="n"/>
      <c r="B141" s="2" t="n"/>
      <c r="C141" s="2" t="n"/>
      <c r="D141" s="2" t="n"/>
      <c r="E141" s="2" t="n"/>
      <c r="F141" s="2" t="n"/>
      <c r="G141" s="2" t="n"/>
      <c r="H141" s="2" t="n"/>
      <c r="I141" s="2" t="n"/>
      <c r="J141" s="2" t="n"/>
      <c r="K141" s="2" t="n"/>
    </row>
    <row r="142" ht="14.25" customHeight="1" s="46">
      <c r="A142" s="2" t="n"/>
      <c r="B142" s="2" t="n"/>
      <c r="C142" s="2" t="n"/>
      <c r="D142" s="2" t="n"/>
      <c r="E142" s="2" t="n"/>
      <c r="F142" s="2" t="n"/>
      <c r="G142" s="2" t="n"/>
      <c r="H142" s="2" t="n"/>
      <c r="I142" s="2" t="n"/>
      <c r="J142" s="2" t="n"/>
      <c r="K142" s="2" t="n"/>
    </row>
    <row r="143" ht="14.25" customHeight="1" s="46">
      <c r="A143" s="2" t="n"/>
      <c r="B143" s="2" t="n"/>
      <c r="C143" s="2" t="n"/>
      <c r="D143" s="2" t="n"/>
      <c r="E143" s="2" t="n"/>
      <c r="F143" s="2" t="n"/>
      <c r="G143" s="2" t="n"/>
      <c r="H143" s="2" t="n"/>
      <c r="I143" s="2" t="n"/>
      <c r="J143" s="2" t="n"/>
      <c r="K143" s="2" t="n"/>
    </row>
    <row r="144" ht="14.25" customHeight="1" s="46">
      <c r="A144" s="2" t="n"/>
      <c r="B144" s="2" t="n"/>
      <c r="C144" s="2" t="n"/>
      <c r="D144" s="2" t="n"/>
      <c r="E144" s="2" t="n"/>
      <c r="F144" s="2" t="n"/>
      <c r="G144" s="2" t="n"/>
      <c r="H144" s="2" t="n"/>
      <c r="I144" s="2" t="n"/>
      <c r="J144" s="2" t="n"/>
      <c r="K144" s="2" t="n"/>
    </row>
    <row r="145" ht="14.25" customHeight="1" s="46">
      <c r="A145" s="2" t="n"/>
      <c r="B145" s="2" t="n"/>
      <c r="C145" s="2" t="n"/>
      <c r="D145" s="2" t="n"/>
      <c r="E145" s="2" t="n"/>
      <c r="F145" s="2" t="n"/>
      <c r="G145" s="2" t="n"/>
      <c r="H145" s="2" t="n"/>
      <c r="I145" s="2" t="n"/>
      <c r="J145" s="2" t="n"/>
      <c r="K145" s="2" t="n"/>
    </row>
    <row r="146" ht="14.25" customHeight="1" s="46">
      <c r="A146" s="2" t="n"/>
      <c r="B146" s="2" t="n"/>
      <c r="C146" s="2" t="n"/>
      <c r="D146" s="2" t="n"/>
      <c r="E146" s="2" t="n"/>
      <c r="F146" s="2" t="n"/>
      <c r="G146" s="2" t="n"/>
      <c r="H146" s="2" t="n"/>
      <c r="I146" s="2" t="n"/>
      <c r="J146" s="2" t="n"/>
      <c r="K146" s="2" t="n"/>
    </row>
    <row r="147" ht="14.25" customHeight="1" s="46">
      <c r="A147" s="2" t="n"/>
      <c r="B147" s="2" t="n"/>
      <c r="C147" s="2" t="n"/>
      <c r="D147" s="2" t="n"/>
      <c r="E147" s="2" t="n"/>
      <c r="F147" s="2" t="n"/>
      <c r="G147" s="2" t="n"/>
      <c r="H147" s="2" t="n"/>
      <c r="I147" s="2" t="n"/>
      <c r="J147" s="2" t="n"/>
      <c r="K147" s="2" t="n"/>
    </row>
    <row r="148" ht="14.25" customHeight="1" s="46">
      <c r="A148" s="2" t="n"/>
      <c r="B148" s="2" t="n"/>
      <c r="C148" s="2" t="n"/>
      <c r="D148" s="2" t="n"/>
      <c r="E148" s="2" t="n"/>
      <c r="F148" s="2" t="n"/>
      <c r="G148" s="2" t="n"/>
      <c r="H148" s="2" t="n"/>
      <c r="I148" s="2" t="n"/>
      <c r="J148" s="2" t="n"/>
      <c r="K148" s="2" t="n"/>
    </row>
    <row r="149" ht="14.25" customHeight="1" s="46">
      <c r="A149" s="2" t="n"/>
      <c r="B149" s="2" t="n"/>
      <c r="C149" s="2" t="n"/>
      <c r="D149" s="2" t="n"/>
      <c r="E149" s="2" t="n"/>
      <c r="F149" s="2" t="n"/>
      <c r="G149" s="2" t="n"/>
      <c r="H149" s="2" t="n"/>
      <c r="I149" s="2" t="n"/>
      <c r="J149" s="2" t="n"/>
      <c r="K149" s="2" t="n"/>
    </row>
    <row r="150" ht="14.25" customHeight="1" s="46">
      <c r="A150" s="2" t="n"/>
      <c r="B150" s="2" t="n"/>
      <c r="C150" s="2" t="n"/>
      <c r="D150" s="2" t="n"/>
      <c r="E150" s="2" t="n"/>
      <c r="F150" s="2" t="n"/>
      <c r="G150" s="2" t="n"/>
      <c r="H150" s="2" t="n"/>
      <c r="I150" s="2" t="n"/>
      <c r="J150" s="2" t="n"/>
      <c r="K150" s="2" t="n"/>
    </row>
    <row r="151" ht="14.25" customHeight="1" s="46">
      <c r="A151" s="2" t="n"/>
      <c r="B151" s="2" t="n"/>
      <c r="C151" s="2" t="n"/>
      <c r="D151" s="2" t="n"/>
      <c r="E151" s="2" t="n"/>
      <c r="F151" s="2" t="n"/>
      <c r="G151" s="2" t="n"/>
      <c r="H151" s="2" t="n"/>
      <c r="I151" s="2" t="n"/>
      <c r="J151" s="2" t="n"/>
      <c r="K151" s="2" t="n"/>
    </row>
    <row r="152" ht="14.25" customHeight="1" s="46">
      <c r="A152" s="2" t="n"/>
      <c r="B152" s="2" t="n"/>
      <c r="C152" s="2" t="n"/>
      <c r="D152" s="2" t="n"/>
      <c r="E152" s="2" t="n"/>
      <c r="F152" s="2" t="n"/>
      <c r="G152" s="2" t="n"/>
      <c r="H152" s="2" t="n"/>
      <c r="I152" s="2" t="n"/>
      <c r="J152" s="2" t="n"/>
      <c r="K152" s="2" t="n"/>
    </row>
    <row r="153" ht="14.25" customHeight="1" s="46">
      <c r="A153" s="2" t="n"/>
      <c r="B153" s="2" t="n"/>
      <c r="C153" s="2" t="n"/>
      <c r="D153" s="2" t="n"/>
      <c r="E153" s="2" t="n"/>
      <c r="F153" s="2" t="n"/>
      <c r="G153" s="2" t="n"/>
      <c r="H153" s="2" t="n"/>
      <c r="I153" s="2" t="n"/>
      <c r="J153" s="2" t="n"/>
      <c r="K153" s="2" t="n"/>
    </row>
    <row r="154" ht="14.25" customHeight="1" s="46">
      <c r="A154" s="2" t="n"/>
      <c r="B154" s="2" t="n"/>
      <c r="C154" s="2" t="n"/>
      <c r="D154" s="2" t="n"/>
      <c r="E154" s="2" t="n"/>
      <c r="F154" s="2" t="n"/>
      <c r="G154" s="2" t="n"/>
      <c r="H154" s="2" t="n"/>
      <c r="I154" s="2" t="n"/>
      <c r="J154" s="2" t="n"/>
      <c r="K154" s="2" t="n"/>
    </row>
    <row r="155" ht="14.25" customHeight="1" s="46">
      <c r="A155" s="2" t="n"/>
      <c r="B155" s="2" t="n"/>
      <c r="C155" s="2" t="n"/>
      <c r="D155" s="2" t="n"/>
      <c r="E155" s="2" t="n"/>
      <c r="F155" s="2" t="n"/>
      <c r="G155" s="2" t="n"/>
      <c r="H155" s="2" t="n"/>
      <c r="I155" s="2" t="n"/>
      <c r="J155" s="2" t="n"/>
      <c r="K155" s="2" t="n"/>
    </row>
    <row r="156" ht="14.25" customHeight="1" s="46">
      <c r="A156" s="2" t="n"/>
      <c r="B156" s="2" t="n"/>
      <c r="C156" s="2" t="n"/>
      <c r="D156" s="2" t="n"/>
      <c r="E156" s="2" t="n"/>
      <c r="F156" s="2" t="n"/>
      <c r="G156" s="2" t="n"/>
      <c r="H156" s="2" t="n"/>
      <c r="I156" s="2" t="n"/>
      <c r="J156" s="2" t="n"/>
      <c r="K156" s="2" t="n"/>
    </row>
    <row r="157" ht="14.25" customHeight="1" s="46">
      <c r="A157" s="2" t="n"/>
      <c r="B157" s="2" t="n"/>
      <c r="C157" s="2" t="n"/>
      <c r="D157" s="2" t="n"/>
      <c r="E157" s="2" t="n"/>
      <c r="F157" s="2" t="n"/>
      <c r="G157" s="2" t="n"/>
      <c r="H157" s="2" t="n"/>
      <c r="I157" s="2" t="n"/>
      <c r="J157" s="2" t="n"/>
      <c r="K157" s="2" t="n"/>
    </row>
    <row r="158" ht="14.25" customHeight="1" s="46">
      <c r="A158" s="2" t="n"/>
      <c r="B158" s="2" t="n"/>
      <c r="C158" s="2" t="n"/>
      <c r="D158" s="2" t="n"/>
      <c r="E158" s="2" t="n"/>
      <c r="F158" s="2" t="n"/>
      <c r="G158" s="2" t="n"/>
      <c r="H158" s="2" t="n"/>
      <c r="I158" s="2" t="n"/>
      <c r="J158" s="2" t="n"/>
      <c r="K158" s="2" t="n"/>
    </row>
    <row r="159" ht="14.25" customHeight="1" s="46">
      <c r="A159" s="2" t="n"/>
      <c r="B159" s="2" t="n"/>
      <c r="C159" s="2" t="n"/>
      <c r="D159" s="2" t="n"/>
      <c r="E159" s="2" t="n"/>
      <c r="F159" s="2" t="n"/>
      <c r="G159" s="2" t="n"/>
      <c r="H159" s="2" t="n"/>
      <c r="I159" s="2" t="n"/>
      <c r="J159" s="2" t="n"/>
      <c r="K159" s="2" t="n"/>
    </row>
    <row r="160" ht="14.25" customHeight="1" s="46">
      <c r="A160" s="2" t="n"/>
      <c r="B160" s="2" t="n"/>
      <c r="C160" s="2" t="n"/>
      <c r="D160" s="2" t="n"/>
      <c r="E160" s="2" t="n"/>
      <c r="F160" s="2" t="n"/>
      <c r="G160" s="2" t="n"/>
      <c r="H160" s="2" t="n"/>
      <c r="I160" s="2" t="n"/>
      <c r="J160" s="2" t="n"/>
      <c r="K160" s="2" t="n"/>
    </row>
    <row r="161" ht="14.25" customHeight="1" s="46">
      <c r="A161" s="2" t="n"/>
      <c r="B161" s="2" t="n"/>
      <c r="C161" s="2" t="n"/>
      <c r="D161" s="2" t="n"/>
      <c r="E161" s="2" t="n"/>
      <c r="F161" s="2" t="n"/>
      <c r="G161" s="2" t="n"/>
      <c r="H161" s="2" t="n"/>
      <c r="I161" s="2" t="n"/>
      <c r="J161" s="2" t="n"/>
      <c r="K161" s="2" t="n"/>
    </row>
    <row r="162" ht="14.25" customHeight="1" s="46">
      <c r="A162" s="2" t="n"/>
      <c r="B162" s="2" t="n"/>
      <c r="C162" s="2" t="n"/>
      <c r="D162" s="2" t="n"/>
      <c r="E162" s="2" t="n"/>
      <c r="F162" s="2" t="n"/>
      <c r="G162" s="2" t="n"/>
      <c r="H162" s="2" t="n"/>
      <c r="I162" s="2" t="n"/>
      <c r="J162" s="2" t="n"/>
      <c r="K162" s="2" t="n"/>
    </row>
    <row r="163" ht="14.25" customHeight="1" s="46">
      <c r="A163" s="2" t="n"/>
      <c r="B163" s="2" t="n"/>
      <c r="C163" s="2" t="n"/>
      <c r="D163" s="2" t="n"/>
      <c r="E163" s="2" t="n"/>
      <c r="F163" s="2" t="n"/>
      <c r="G163" s="2" t="n"/>
      <c r="H163" s="2" t="n"/>
      <c r="I163" s="2" t="n"/>
      <c r="J163" s="2" t="n"/>
      <c r="K163" s="2" t="n"/>
    </row>
    <row r="164" ht="14.25" customHeight="1" s="46">
      <c r="A164" s="2" t="n"/>
      <c r="B164" s="2" t="n"/>
      <c r="C164" s="2" t="n"/>
      <c r="D164" s="2" t="n"/>
      <c r="E164" s="2" t="n"/>
      <c r="F164" s="2" t="n"/>
      <c r="G164" s="2" t="n"/>
      <c r="H164" s="2" t="n"/>
      <c r="I164" s="2" t="n"/>
      <c r="J164" s="2" t="n"/>
      <c r="K164" s="2" t="n"/>
    </row>
    <row r="165" ht="14.25" customHeight="1" s="46">
      <c r="A165" s="2" t="n"/>
      <c r="B165" s="2" t="n"/>
      <c r="C165" s="2" t="n"/>
      <c r="D165" s="2" t="n"/>
      <c r="E165" s="2" t="n"/>
      <c r="F165" s="2" t="n"/>
      <c r="G165" s="2" t="n"/>
      <c r="H165" s="2" t="n"/>
      <c r="I165" s="2" t="n"/>
      <c r="J165" s="2" t="n"/>
      <c r="K165" s="2" t="n"/>
    </row>
    <row r="166" ht="14.25" customHeight="1" s="46">
      <c r="A166" s="2" t="n"/>
      <c r="B166" s="2" t="n"/>
      <c r="C166" s="2" t="n"/>
      <c r="D166" s="2" t="n"/>
      <c r="E166" s="2" t="n"/>
      <c r="F166" s="2" t="n"/>
      <c r="G166" s="2" t="n"/>
      <c r="H166" s="2" t="n"/>
      <c r="I166" s="2" t="n"/>
      <c r="J166" s="2" t="n"/>
      <c r="K166" s="2" t="n"/>
    </row>
    <row r="167" ht="14.25" customHeight="1" s="46">
      <c r="A167" s="2" t="n"/>
      <c r="B167" s="2" t="n"/>
      <c r="C167" s="2" t="n"/>
      <c r="D167" s="2" t="n"/>
      <c r="E167" s="2" t="n"/>
      <c r="F167" s="2" t="n"/>
      <c r="G167" s="2" t="n"/>
      <c r="H167" s="2" t="n"/>
      <c r="I167" s="2" t="n"/>
      <c r="J167" s="2" t="n"/>
      <c r="K167" s="2" t="n"/>
    </row>
    <row r="168" ht="14.25" customHeight="1" s="46">
      <c r="A168" s="2" t="n"/>
      <c r="B168" s="2" t="n"/>
      <c r="C168" s="2" t="n"/>
      <c r="D168" s="2" t="n"/>
      <c r="E168" s="2" t="n"/>
      <c r="F168" s="2" t="n"/>
      <c r="G168" s="2" t="n"/>
      <c r="H168" s="2" t="n"/>
      <c r="I168" s="2" t="n"/>
      <c r="J168" s="2" t="n"/>
      <c r="K168" s="2" t="n"/>
    </row>
    <row r="169" ht="14.25" customHeight="1" s="46">
      <c r="A169" s="2" t="n"/>
      <c r="B169" s="2" t="n"/>
      <c r="C169" s="2" t="n"/>
      <c r="D169" s="2" t="n"/>
      <c r="E169" s="2" t="n"/>
      <c r="F169" s="2" t="n"/>
      <c r="G169" s="2" t="n"/>
      <c r="H169" s="2" t="n"/>
      <c r="I169" s="2" t="n"/>
      <c r="J169" s="2" t="n"/>
      <c r="K169" s="2" t="n"/>
    </row>
    <row r="170" ht="14.25" customHeight="1" s="46">
      <c r="A170" s="2" t="n"/>
      <c r="B170" s="2" t="n"/>
      <c r="C170" s="2" t="n"/>
      <c r="D170" s="2" t="n"/>
      <c r="E170" s="2" t="n"/>
      <c r="F170" s="2" t="n"/>
      <c r="G170" s="2" t="n"/>
      <c r="H170" s="2" t="n"/>
      <c r="I170" s="2" t="n"/>
      <c r="J170" s="2" t="n"/>
      <c r="K170" s="2" t="n"/>
    </row>
    <row r="171" ht="14.25" customHeight="1" s="46">
      <c r="A171" s="2" t="n"/>
      <c r="B171" s="2" t="n"/>
      <c r="C171" s="2" t="n"/>
      <c r="D171" s="2" t="n"/>
      <c r="E171" s="2" t="n"/>
      <c r="F171" s="2" t="n"/>
      <c r="G171" s="2" t="n"/>
      <c r="H171" s="2" t="n"/>
      <c r="I171" s="2" t="n"/>
      <c r="J171" s="2" t="n"/>
      <c r="K171" s="2" t="n"/>
    </row>
    <row r="172" ht="14.25" customHeight="1" s="46">
      <c r="A172" s="2" t="n"/>
      <c r="B172" s="2" t="n"/>
      <c r="C172" s="2" t="n"/>
      <c r="D172" s="2" t="n"/>
      <c r="E172" s="2" t="n"/>
      <c r="F172" s="2" t="n"/>
      <c r="G172" s="2" t="n"/>
      <c r="H172" s="2" t="n"/>
      <c r="I172" s="2" t="n"/>
      <c r="J172" s="2" t="n"/>
      <c r="K172" s="2" t="n"/>
    </row>
    <row r="173" ht="14.25" customHeight="1" s="46">
      <c r="A173" s="2" t="n"/>
      <c r="B173" s="2" t="n"/>
      <c r="C173" s="2" t="n"/>
      <c r="D173" s="2" t="n"/>
      <c r="E173" s="2" t="n"/>
      <c r="F173" s="2" t="n"/>
      <c r="G173" s="2" t="n"/>
      <c r="H173" s="2" t="n"/>
      <c r="I173" s="2" t="n"/>
      <c r="J173" s="2" t="n"/>
      <c r="K173" s="2" t="n"/>
    </row>
    <row r="174" ht="14.25" customHeight="1" s="46">
      <c r="A174" s="2" t="n"/>
      <c r="B174" s="2" t="n"/>
      <c r="C174" s="2" t="n"/>
      <c r="D174" s="2" t="n"/>
      <c r="E174" s="2" t="n"/>
      <c r="F174" s="2" t="n"/>
      <c r="G174" s="2" t="n"/>
      <c r="H174" s="2" t="n"/>
      <c r="I174" s="2" t="n"/>
      <c r="J174" s="2" t="n"/>
      <c r="K174" s="2" t="n"/>
    </row>
    <row r="175" ht="14.25" customHeight="1" s="46">
      <c r="A175" s="2" t="n"/>
      <c r="B175" s="2" t="n"/>
      <c r="C175" s="2" t="n"/>
      <c r="D175" s="2" t="n"/>
      <c r="E175" s="2" t="n"/>
      <c r="F175" s="2" t="n"/>
      <c r="G175" s="2" t="n"/>
      <c r="H175" s="2" t="n"/>
      <c r="I175" s="2" t="n"/>
      <c r="J175" s="2" t="n"/>
      <c r="K175" s="2" t="n"/>
    </row>
    <row r="176" ht="14.25" customHeight="1" s="46">
      <c r="A176" s="2" t="n"/>
      <c r="B176" s="2" t="n"/>
      <c r="C176" s="2" t="n"/>
      <c r="D176" s="2" t="n"/>
      <c r="E176" s="2" t="n"/>
      <c r="F176" s="2" t="n"/>
      <c r="G176" s="2" t="n"/>
      <c r="H176" s="2" t="n"/>
      <c r="I176" s="2" t="n"/>
      <c r="J176" s="2" t="n"/>
      <c r="K176" s="2" t="n"/>
    </row>
    <row r="177" ht="14.25" customHeight="1" s="46">
      <c r="A177" s="2" t="n"/>
      <c r="B177" s="2" t="n"/>
      <c r="C177" s="2" t="n"/>
      <c r="D177" s="2" t="n"/>
      <c r="E177" s="2" t="n"/>
      <c r="F177" s="2" t="n"/>
      <c r="G177" s="2" t="n"/>
      <c r="H177" s="2" t="n"/>
      <c r="I177" s="2" t="n"/>
      <c r="J177" s="2" t="n"/>
      <c r="K177" s="2" t="n"/>
    </row>
    <row r="178" ht="14.25" customHeight="1" s="46">
      <c r="A178" s="2" t="n"/>
      <c r="B178" s="2" t="n"/>
      <c r="C178" s="2" t="n"/>
      <c r="D178" s="2" t="n"/>
      <c r="E178" s="2" t="n"/>
      <c r="F178" s="2" t="n"/>
      <c r="G178" s="2" t="n"/>
      <c r="H178" s="2" t="n"/>
      <c r="I178" s="2" t="n"/>
      <c r="J178" s="2" t="n"/>
      <c r="K178" s="2" t="n"/>
    </row>
    <row r="179" ht="14.25" customHeight="1" s="46">
      <c r="A179" s="2" t="n"/>
      <c r="B179" s="2" t="n"/>
      <c r="C179" s="2" t="n"/>
      <c r="D179" s="2" t="n"/>
      <c r="E179" s="2" t="n"/>
      <c r="F179" s="2" t="n"/>
      <c r="G179" s="2" t="n"/>
      <c r="H179" s="2" t="n"/>
      <c r="I179" s="2" t="n"/>
      <c r="J179" s="2" t="n"/>
      <c r="K179" s="2" t="n"/>
    </row>
    <row r="180" ht="14.25" customHeight="1" s="46">
      <c r="A180" s="2" t="n"/>
      <c r="B180" s="2" t="n"/>
      <c r="C180" s="2" t="n"/>
      <c r="D180" s="2" t="n"/>
      <c r="E180" s="2" t="n"/>
      <c r="F180" s="2" t="n"/>
      <c r="G180" s="2" t="n"/>
      <c r="H180" s="2" t="n"/>
      <c r="I180" s="2" t="n"/>
      <c r="J180" s="2" t="n"/>
      <c r="K180" s="2" t="n"/>
    </row>
    <row r="181" ht="14.25" customHeight="1" s="46">
      <c r="A181" s="2" t="n"/>
      <c r="B181" s="2" t="n"/>
      <c r="C181" s="2" t="n"/>
      <c r="D181" s="2" t="n"/>
      <c r="E181" s="2" t="n"/>
      <c r="F181" s="2" t="n"/>
      <c r="G181" s="2" t="n"/>
      <c r="H181" s="2" t="n"/>
      <c r="I181" s="2" t="n"/>
      <c r="J181" s="2" t="n"/>
      <c r="K181" s="2" t="n"/>
    </row>
    <row r="182" ht="14.25" customHeight="1" s="46">
      <c r="A182" s="2" t="n"/>
      <c r="B182" s="2" t="n"/>
      <c r="C182" s="2" t="n"/>
      <c r="D182" s="2" t="n"/>
      <c r="E182" s="2" t="n"/>
      <c r="F182" s="2" t="n"/>
      <c r="G182" s="2" t="n"/>
      <c r="H182" s="2" t="n"/>
      <c r="I182" s="2" t="n"/>
      <c r="J182" s="2" t="n"/>
      <c r="K182" s="2" t="n"/>
    </row>
    <row r="183" ht="14.25" customHeight="1" s="46">
      <c r="A183" s="2" t="n"/>
      <c r="B183" s="2" t="n"/>
      <c r="C183" s="2" t="n"/>
      <c r="D183" s="2" t="n"/>
      <c r="E183" s="2" t="n"/>
      <c r="F183" s="2" t="n"/>
      <c r="G183" s="2" t="n"/>
      <c r="H183" s="2" t="n"/>
      <c r="I183" s="2" t="n"/>
      <c r="J183" s="2" t="n"/>
      <c r="K183" s="2" t="n"/>
    </row>
    <row r="184" ht="14.25" customHeight="1" s="46">
      <c r="A184" s="2" t="n"/>
      <c r="B184" s="2" t="n"/>
      <c r="C184" s="2" t="n"/>
      <c r="D184" s="2" t="n"/>
      <c r="E184" s="2" t="n"/>
      <c r="F184" s="2" t="n"/>
      <c r="G184" s="2" t="n"/>
      <c r="H184" s="2" t="n"/>
      <c r="I184" s="2" t="n"/>
      <c r="J184" s="2" t="n"/>
      <c r="K184" s="2" t="n"/>
    </row>
    <row r="185" ht="14.25" customHeight="1" s="46">
      <c r="A185" s="2" t="n"/>
      <c r="B185" s="2" t="n"/>
      <c r="C185" s="2" t="n"/>
      <c r="D185" s="2" t="n"/>
      <c r="E185" s="2" t="n"/>
      <c r="F185" s="2" t="n"/>
      <c r="G185" s="2" t="n"/>
      <c r="H185" s="2" t="n"/>
      <c r="I185" s="2" t="n"/>
      <c r="J185" s="2" t="n"/>
      <c r="K185" s="2" t="n"/>
    </row>
    <row r="186" ht="14.25" customHeight="1" s="46">
      <c r="A186" s="2" t="n"/>
      <c r="B186" s="2" t="n"/>
      <c r="C186" s="2" t="n"/>
      <c r="D186" s="2" t="n"/>
      <c r="E186" s="2" t="n"/>
      <c r="F186" s="2" t="n"/>
      <c r="G186" s="2" t="n"/>
      <c r="H186" s="2" t="n"/>
      <c r="I186" s="2" t="n"/>
      <c r="J186" s="2" t="n"/>
      <c r="K186" s="2" t="n"/>
    </row>
    <row r="187" ht="14.25" customHeight="1" s="46">
      <c r="A187" s="2" t="n"/>
      <c r="B187" s="2" t="n"/>
      <c r="C187" s="2" t="n"/>
      <c r="D187" s="2" t="n"/>
      <c r="E187" s="2" t="n"/>
      <c r="F187" s="2" t="n"/>
      <c r="G187" s="2" t="n"/>
      <c r="H187" s="2" t="n"/>
      <c r="I187" s="2" t="n"/>
      <c r="J187" s="2" t="n"/>
      <c r="K187" s="2" t="n"/>
    </row>
    <row r="188" ht="14.25" customHeight="1" s="46">
      <c r="A188" s="2" t="n"/>
      <c r="B188" s="2" t="n"/>
      <c r="C188" s="2" t="n"/>
      <c r="D188" s="2" t="n"/>
      <c r="E188" s="2" t="n"/>
      <c r="F188" s="2" t="n"/>
      <c r="G188" s="2" t="n"/>
      <c r="H188" s="2" t="n"/>
      <c r="I188" s="2" t="n"/>
      <c r="J188" s="2" t="n"/>
      <c r="K188" s="2" t="n"/>
    </row>
    <row r="189" ht="14.25" customHeight="1" s="46">
      <c r="A189" s="2" t="n"/>
      <c r="B189" s="2" t="n"/>
      <c r="C189" s="2" t="n"/>
      <c r="D189" s="2" t="n"/>
      <c r="E189" s="2" t="n"/>
      <c r="F189" s="2" t="n"/>
      <c r="G189" s="2" t="n"/>
      <c r="H189" s="2" t="n"/>
      <c r="I189" s="2" t="n"/>
      <c r="J189" s="2" t="n"/>
      <c r="K189" s="2" t="n"/>
    </row>
    <row r="190" ht="14.25" customHeight="1" s="46">
      <c r="A190" s="2" t="n"/>
      <c r="B190" s="2" t="n"/>
      <c r="C190" s="2" t="n"/>
      <c r="D190" s="2" t="n"/>
      <c r="E190" s="2" t="n"/>
      <c r="F190" s="2" t="n"/>
      <c r="G190" s="2" t="n"/>
      <c r="H190" s="2" t="n"/>
      <c r="I190" s="2" t="n"/>
      <c r="J190" s="2" t="n"/>
      <c r="K190" s="2" t="n"/>
    </row>
    <row r="191" ht="14.25" customHeight="1" s="46">
      <c r="A191" s="2" t="n"/>
      <c r="B191" s="2" t="n"/>
      <c r="C191" s="2" t="n"/>
      <c r="D191" s="2" t="n"/>
      <c r="E191" s="2" t="n"/>
      <c r="F191" s="2" t="n"/>
      <c r="G191" s="2" t="n"/>
      <c r="H191" s="2" t="n"/>
      <c r="I191" s="2" t="n"/>
      <c r="J191" s="2" t="n"/>
      <c r="K191" s="2" t="n"/>
    </row>
    <row r="192" ht="14.25" customHeight="1" s="46">
      <c r="A192" s="2" t="n"/>
      <c r="B192" s="2" t="n"/>
      <c r="C192" s="2" t="n"/>
      <c r="D192" s="2" t="n"/>
      <c r="E192" s="2" t="n"/>
      <c r="F192" s="2" t="n"/>
      <c r="G192" s="2" t="n"/>
      <c r="H192" s="2" t="n"/>
      <c r="I192" s="2" t="n"/>
      <c r="J192" s="2" t="n"/>
      <c r="K192" s="2" t="n"/>
    </row>
    <row r="193" ht="14.25" customHeight="1" s="46">
      <c r="A193" s="2" t="n"/>
      <c r="B193" s="2" t="n"/>
      <c r="C193" s="2" t="n"/>
      <c r="D193" s="2" t="n"/>
      <c r="E193" s="2" t="n"/>
      <c r="F193" s="2" t="n"/>
      <c r="G193" s="2" t="n"/>
      <c r="H193" s="2" t="n"/>
      <c r="I193" s="2" t="n"/>
      <c r="J193" s="2" t="n"/>
      <c r="K193" s="2" t="n"/>
    </row>
    <row r="194" ht="14.25" customHeight="1" s="46">
      <c r="A194" s="2" t="n"/>
      <c r="B194" s="2" t="n"/>
      <c r="C194" s="2" t="n"/>
      <c r="D194" s="2" t="n"/>
      <c r="E194" s="2" t="n"/>
      <c r="F194" s="2" t="n"/>
      <c r="G194" s="2" t="n"/>
      <c r="H194" s="2" t="n"/>
      <c r="I194" s="2" t="n"/>
      <c r="J194" s="2" t="n"/>
      <c r="K194" s="2" t="n"/>
    </row>
    <row r="195" ht="14.25" customHeight="1" s="46">
      <c r="A195" s="2" t="n"/>
      <c r="B195" s="2" t="n"/>
      <c r="C195" s="2" t="n"/>
      <c r="D195" s="2" t="n"/>
      <c r="E195" s="2" t="n"/>
      <c r="F195" s="2" t="n"/>
      <c r="G195" s="2" t="n"/>
      <c r="H195" s="2" t="n"/>
      <c r="I195" s="2" t="n"/>
      <c r="J195" s="2" t="n"/>
      <c r="K195" s="2" t="n"/>
    </row>
    <row r="196" ht="14.25" customHeight="1" s="46">
      <c r="A196" s="2" t="n"/>
      <c r="B196" s="2" t="n"/>
      <c r="C196" s="2" t="n"/>
      <c r="D196" s="2" t="n"/>
      <c r="E196" s="2" t="n"/>
      <c r="F196" s="2" t="n"/>
      <c r="G196" s="2" t="n"/>
      <c r="H196" s="2" t="n"/>
      <c r="I196" s="2" t="n"/>
      <c r="J196" s="2" t="n"/>
      <c r="K196" s="2" t="n"/>
    </row>
    <row r="197" ht="14.25" customHeight="1" s="46">
      <c r="A197" s="2" t="n"/>
      <c r="B197" s="2" t="n"/>
      <c r="C197" s="2" t="n"/>
      <c r="D197" s="2" t="n"/>
      <c r="E197" s="2" t="n"/>
      <c r="F197" s="2" t="n"/>
      <c r="G197" s="2" t="n"/>
      <c r="H197" s="2" t="n"/>
      <c r="I197" s="2" t="n"/>
      <c r="J197" s="2" t="n"/>
      <c r="K197" s="2" t="n"/>
    </row>
    <row r="198" ht="14.25" customHeight="1" s="46">
      <c r="A198" s="2" t="n"/>
      <c r="B198" s="2" t="n"/>
      <c r="C198" s="2" t="n"/>
      <c r="D198" s="2" t="n"/>
      <c r="E198" s="2" t="n"/>
      <c r="F198" s="2" t="n"/>
      <c r="G198" s="2" t="n"/>
      <c r="H198" s="2" t="n"/>
      <c r="I198" s="2" t="n"/>
      <c r="J198" s="2" t="n"/>
      <c r="K198" s="2" t="n"/>
    </row>
    <row r="199" ht="14.25" customHeight="1" s="46">
      <c r="A199" s="2" t="n"/>
      <c r="B199" s="2" t="n"/>
      <c r="C199" s="2" t="n"/>
      <c r="D199" s="2" t="n"/>
      <c r="E199" s="2" t="n"/>
      <c r="F199" s="2" t="n"/>
      <c r="G199" s="2" t="n"/>
      <c r="H199" s="2" t="n"/>
      <c r="I199" s="2" t="n"/>
      <c r="J199" s="2" t="n"/>
      <c r="K199" s="2" t="n"/>
    </row>
    <row r="200" ht="14.25" customHeight="1" s="46">
      <c r="A200" s="2" t="n"/>
      <c r="B200" s="2" t="n"/>
      <c r="C200" s="2" t="n"/>
      <c r="D200" s="2" t="n"/>
      <c r="E200" s="2" t="n"/>
      <c r="F200" s="2" t="n"/>
      <c r="G200" s="2" t="n"/>
      <c r="H200" s="2" t="n"/>
      <c r="I200" s="2" t="n"/>
      <c r="J200" s="2" t="n"/>
      <c r="K200" s="2" t="n"/>
    </row>
    <row r="201" ht="14.25" customHeight="1" s="46">
      <c r="A201" s="2" t="n"/>
      <c r="B201" s="2" t="n"/>
      <c r="C201" s="2" t="n"/>
      <c r="D201" s="2" t="n"/>
      <c r="E201" s="2" t="n"/>
      <c r="F201" s="2" t="n"/>
      <c r="G201" s="2" t="n"/>
      <c r="H201" s="2" t="n"/>
      <c r="I201" s="2" t="n"/>
      <c r="J201" s="2" t="n"/>
      <c r="K201" s="2" t="n"/>
    </row>
    <row r="202" ht="14.25" customHeight="1" s="46">
      <c r="A202" s="2" t="n"/>
      <c r="B202" s="2" t="n"/>
      <c r="C202" s="2" t="n"/>
      <c r="D202" s="2" t="n"/>
      <c r="E202" s="2" t="n"/>
      <c r="F202" s="2" t="n"/>
      <c r="G202" s="2" t="n"/>
      <c r="H202" s="2" t="n"/>
      <c r="I202" s="2" t="n"/>
      <c r="J202" s="2" t="n"/>
      <c r="K202" s="2" t="n"/>
    </row>
    <row r="203" ht="14.25" customHeight="1" s="46">
      <c r="A203" s="2" t="n"/>
      <c r="B203" s="2" t="n"/>
      <c r="C203" s="2" t="n"/>
      <c r="D203" s="2" t="n"/>
      <c r="E203" s="2" t="n"/>
      <c r="F203" s="2" t="n"/>
      <c r="G203" s="2" t="n"/>
      <c r="H203" s="2" t="n"/>
      <c r="I203" s="2" t="n"/>
      <c r="J203" s="2" t="n"/>
      <c r="K203" s="2" t="n"/>
    </row>
    <row r="204" ht="14.25" customHeight="1" s="46">
      <c r="A204" s="2" t="n"/>
      <c r="B204" s="2" t="n"/>
      <c r="C204" s="2" t="n"/>
      <c r="D204" s="2" t="n"/>
      <c r="E204" s="2" t="n"/>
      <c r="F204" s="2" t="n"/>
      <c r="G204" s="2" t="n"/>
      <c r="H204" s="2" t="n"/>
      <c r="I204" s="2" t="n"/>
      <c r="J204" s="2" t="n"/>
      <c r="K204" s="2" t="n"/>
    </row>
    <row r="205" ht="14.25" customHeight="1" s="46">
      <c r="A205" s="2" t="n"/>
      <c r="B205" s="2" t="n"/>
      <c r="C205" s="2" t="n"/>
      <c r="D205" s="2" t="n"/>
      <c r="E205" s="2" t="n"/>
      <c r="F205" s="2" t="n"/>
      <c r="G205" s="2" t="n"/>
      <c r="H205" s="2" t="n"/>
      <c r="I205" s="2" t="n"/>
      <c r="J205" s="2" t="n"/>
      <c r="K205" s="2" t="n"/>
    </row>
    <row r="206" ht="14.25" customHeight="1" s="46">
      <c r="A206" s="2" t="n"/>
      <c r="B206" s="2" t="n"/>
      <c r="C206" s="2" t="n"/>
      <c r="D206" s="2" t="n"/>
      <c r="E206" s="2" t="n"/>
      <c r="F206" s="2" t="n"/>
      <c r="G206" s="2" t="n"/>
      <c r="H206" s="2" t="n"/>
      <c r="I206" s="2" t="n"/>
      <c r="J206" s="2" t="n"/>
      <c r="K206" s="2" t="n"/>
    </row>
    <row r="207" ht="14.25" customHeight="1" s="46">
      <c r="A207" s="2" t="n"/>
      <c r="B207" s="2" t="n"/>
      <c r="C207" s="2" t="n"/>
      <c r="D207" s="2" t="n"/>
      <c r="E207" s="2" t="n"/>
      <c r="F207" s="2" t="n"/>
      <c r="G207" s="2" t="n"/>
      <c r="H207" s="2" t="n"/>
      <c r="I207" s="2" t="n"/>
      <c r="J207" s="2" t="n"/>
      <c r="K207" s="2" t="n"/>
    </row>
    <row r="208" ht="14.25" customHeight="1" s="46">
      <c r="A208" s="2" t="n"/>
      <c r="B208" s="2" t="n"/>
      <c r="C208" s="2" t="n"/>
      <c r="D208" s="2" t="n"/>
      <c r="E208" s="2" t="n"/>
      <c r="F208" s="2" t="n"/>
      <c r="G208" s="2" t="n"/>
      <c r="H208" s="2" t="n"/>
      <c r="I208" s="2" t="n"/>
      <c r="J208" s="2" t="n"/>
      <c r="K208" s="2" t="n"/>
    </row>
    <row r="209" ht="14.25" customHeight="1" s="46">
      <c r="A209" s="2" t="n"/>
      <c r="B209" s="2" t="n"/>
      <c r="C209" s="2" t="n"/>
      <c r="D209" s="2" t="n"/>
      <c r="E209" s="2" t="n"/>
      <c r="F209" s="2" t="n"/>
      <c r="G209" s="2" t="n"/>
      <c r="H209" s="2" t="n"/>
      <c r="I209" s="2" t="n"/>
      <c r="J209" s="2" t="n"/>
      <c r="K209" s="2" t="n"/>
    </row>
    <row r="210" ht="14.25" customHeight="1" s="46">
      <c r="A210" s="2" t="n"/>
      <c r="B210" s="2" t="n"/>
      <c r="C210" s="2" t="n"/>
      <c r="D210" s="2" t="n"/>
      <c r="E210" s="2" t="n"/>
      <c r="F210" s="2" t="n"/>
      <c r="G210" s="2" t="n"/>
      <c r="H210" s="2" t="n"/>
      <c r="I210" s="2" t="n"/>
      <c r="J210" s="2" t="n"/>
      <c r="K210" s="2" t="n"/>
    </row>
    <row r="211" ht="14.25" customHeight="1" s="46">
      <c r="A211" s="2" t="n"/>
      <c r="B211" s="2" t="n"/>
      <c r="C211" s="2" t="n"/>
      <c r="D211" s="2" t="n"/>
      <c r="E211" s="2" t="n"/>
      <c r="F211" s="2" t="n"/>
      <c r="G211" s="2" t="n"/>
      <c r="H211" s="2" t="n"/>
      <c r="I211" s="2" t="n"/>
      <c r="J211" s="2" t="n"/>
      <c r="K211" s="2" t="n"/>
    </row>
    <row r="212" ht="14.25" customHeight="1" s="46">
      <c r="A212" s="2" t="n"/>
      <c r="B212" s="2" t="n"/>
      <c r="C212" s="2" t="n"/>
      <c r="D212" s="2" t="n"/>
      <c r="E212" s="2" t="n"/>
      <c r="F212" s="2" t="n"/>
      <c r="G212" s="2" t="n"/>
      <c r="H212" s="2" t="n"/>
      <c r="I212" s="2" t="n"/>
      <c r="J212" s="2" t="n"/>
      <c r="K212" s="2" t="n"/>
    </row>
    <row r="213" ht="14.25" customHeight="1" s="46">
      <c r="A213" s="2" t="n"/>
      <c r="B213" s="2" t="n"/>
      <c r="C213" s="2" t="n"/>
      <c r="D213" s="2" t="n"/>
      <c r="E213" s="2" t="n"/>
      <c r="F213" s="2" t="n"/>
      <c r="G213" s="2" t="n"/>
      <c r="H213" s="2" t="n"/>
      <c r="I213" s="2" t="n"/>
      <c r="J213" s="2" t="n"/>
      <c r="K213" s="2" t="n"/>
    </row>
    <row r="214" ht="14.25" customHeight="1" s="46">
      <c r="A214" s="2" t="n"/>
      <c r="B214" s="2" t="n"/>
      <c r="C214" s="2" t="n"/>
      <c r="D214" s="2" t="n"/>
      <c r="E214" s="2" t="n"/>
      <c r="F214" s="2" t="n"/>
      <c r="G214" s="2" t="n"/>
      <c r="H214" s="2" t="n"/>
      <c r="I214" s="2" t="n"/>
      <c r="J214" s="2" t="n"/>
      <c r="K214" s="2" t="n"/>
    </row>
    <row r="215" ht="14.25" customHeight="1" s="46">
      <c r="A215" s="2" t="n"/>
      <c r="B215" s="2" t="n"/>
      <c r="C215" s="2" t="n"/>
      <c r="D215" s="2" t="n"/>
      <c r="E215" s="2" t="n"/>
      <c r="F215" s="2" t="n"/>
      <c r="G215" s="2" t="n"/>
      <c r="H215" s="2" t="n"/>
      <c r="I215" s="2" t="n"/>
      <c r="J215" s="2" t="n"/>
      <c r="K215" s="2" t="n"/>
    </row>
    <row r="216" ht="14.25" customHeight="1" s="46">
      <c r="A216" s="2" t="n"/>
      <c r="B216" s="2" t="n"/>
      <c r="C216" s="2" t="n"/>
      <c r="D216" s="2" t="n"/>
      <c r="E216" s="2" t="n"/>
      <c r="F216" s="2" t="n"/>
      <c r="G216" s="2" t="n"/>
      <c r="H216" s="2" t="n"/>
      <c r="I216" s="2" t="n"/>
      <c r="J216" s="2" t="n"/>
      <c r="K216" s="2" t="n"/>
    </row>
    <row r="217" ht="14.25" customHeight="1" s="46">
      <c r="A217" s="2" t="n"/>
      <c r="B217" s="2" t="n"/>
      <c r="C217" s="2" t="n"/>
      <c r="D217" s="2" t="n"/>
      <c r="E217" s="2" t="n"/>
      <c r="F217" s="2" t="n"/>
      <c r="G217" s="2" t="n"/>
      <c r="H217" s="2" t="n"/>
      <c r="I217" s="2" t="n"/>
      <c r="J217" s="2" t="n"/>
      <c r="K217" s="2" t="n"/>
    </row>
    <row r="218" ht="14.25" customHeight="1" s="46">
      <c r="A218" s="2" t="n"/>
      <c r="B218" s="2" t="n"/>
      <c r="C218" s="2" t="n"/>
      <c r="D218" s="2" t="n"/>
      <c r="E218" s="2" t="n"/>
      <c r="F218" s="2" t="n"/>
      <c r="G218" s="2" t="n"/>
      <c r="H218" s="2" t="n"/>
      <c r="I218" s="2" t="n"/>
      <c r="J218" s="2" t="n"/>
      <c r="K218" s="2" t="n"/>
    </row>
    <row r="219" ht="14.25" customHeight="1" s="46">
      <c r="A219" s="2" t="n"/>
      <c r="B219" s="2" t="n"/>
      <c r="C219" s="2" t="n"/>
      <c r="D219" s="2" t="n"/>
      <c r="E219" s="2" t="n"/>
      <c r="F219" s="2" t="n"/>
      <c r="G219" s="2" t="n"/>
      <c r="H219" s="2" t="n"/>
      <c r="I219" s="2" t="n"/>
      <c r="J219" s="2" t="n"/>
      <c r="K219" s="2" t="n"/>
    </row>
    <row r="220" ht="14.25" customHeight="1" s="46">
      <c r="A220" s="2" t="n"/>
      <c r="B220" s="2" t="n"/>
      <c r="C220" s="2" t="n"/>
      <c r="D220" s="2" t="n"/>
      <c r="E220" s="2" t="n"/>
      <c r="F220" s="2" t="n"/>
      <c r="G220" s="2" t="n"/>
      <c r="H220" s="2" t="n"/>
      <c r="I220" s="2" t="n"/>
      <c r="J220" s="2" t="n"/>
      <c r="K220" s="2" t="n"/>
    </row>
    <row r="221" ht="14.25" customHeight="1" s="46">
      <c r="A221" s="2" t="n"/>
      <c r="B221" s="2" t="n"/>
      <c r="C221" s="2" t="n"/>
      <c r="D221" s="2" t="n"/>
      <c r="E221" s="2" t="n"/>
      <c r="F221" s="2" t="n"/>
      <c r="G221" s="2" t="n"/>
      <c r="H221" s="2" t="n"/>
      <c r="I221" s="2" t="n"/>
      <c r="J221" s="2" t="n"/>
      <c r="K221" s="2" t="n"/>
    </row>
    <row r="222" ht="14.25" customHeight="1" s="46">
      <c r="A222" s="2" t="n"/>
      <c r="B222" s="2" t="n"/>
      <c r="C222" s="2" t="n"/>
      <c r="D222" s="2" t="n"/>
      <c r="E222" s="2" t="n"/>
      <c r="F222" s="2" t="n"/>
      <c r="G222" s="2" t="n"/>
      <c r="H222" s="2" t="n"/>
      <c r="I222" s="2" t="n"/>
      <c r="J222" s="2" t="n"/>
      <c r="K222" s="2" t="n"/>
    </row>
    <row r="223" ht="14.25" customHeight="1" s="46">
      <c r="A223" s="2" t="n"/>
      <c r="B223" s="2" t="n"/>
      <c r="C223" s="2" t="n"/>
      <c r="D223" s="2" t="n"/>
      <c r="E223" s="2" t="n"/>
      <c r="F223" s="2" t="n"/>
      <c r="G223" s="2" t="n"/>
      <c r="H223" s="2" t="n"/>
      <c r="I223" s="2" t="n"/>
      <c r="J223" s="2" t="n"/>
      <c r="K223" s="2" t="n"/>
    </row>
    <row r="224" ht="14.25" customHeight="1" s="46">
      <c r="A224" s="2" t="n"/>
      <c r="B224" s="2" t="n"/>
      <c r="C224" s="2" t="n"/>
      <c r="D224" s="2" t="n"/>
      <c r="E224" s="2" t="n"/>
      <c r="F224" s="2" t="n"/>
      <c r="G224" s="2" t="n"/>
      <c r="H224" s="2" t="n"/>
      <c r="I224" s="2" t="n"/>
      <c r="J224" s="2" t="n"/>
      <c r="K224" s="2" t="n"/>
    </row>
    <row r="225" ht="14.25" customHeight="1" s="46">
      <c r="A225" s="2" t="n"/>
      <c r="B225" s="2" t="n"/>
      <c r="C225" s="2" t="n"/>
      <c r="D225" s="2" t="n"/>
      <c r="E225" s="2" t="n"/>
      <c r="F225" s="2" t="n"/>
      <c r="G225" s="2" t="n"/>
      <c r="H225" s="2" t="n"/>
      <c r="I225" s="2" t="n"/>
      <c r="J225" s="2" t="n"/>
      <c r="K225" s="2" t="n"/>
    </row>
    <row r="226" ht="14.25" customHeight="1" s="46">
      <c r="A226" s="2" t="n"/>
      <c r="B226" s="2" t="n"/>
      <c r="C226" s="2" t="n"/>
      <c r="D226" s="2" t="n"/>
      <c r="E226" s="2" t="n"/>
      <c r="F226" s="2" t="n"/>
      <c r="G226" s="2" t="n"/>
      <c r="H226" s="2" t="n"/>
      <c r="I226" s="2" t="n"/>
      <c r="J226" s="2" t="n"/>
      <c r="K226" s="2" t="n"/>
    </row>
    <row r="227" ht="14.25" customHeight="1" s="46">
      <c r="A227" s="2" t="n"/>
      <c r="B227" s="2" t="n"/>
      <c r="C227" s="2" t="n"/>
      <c r="D227" s="2" t="n"/>
      <c r="E227" s="2" t="n"/>
      <c r="F227" s="2" t="n"/>
      <c r="G227" s="2" t="n"/>
      <c r="H227" s="2" t="n"/>
      <c r="I227" s="2" t="n"/>
      <c r="J227" s="2" t="n"/>
      <c r="K227" s="2" t="n"/>
    </row>
    <row r="228" ht="14.25" customHeight="1" s="46">
      <c r="A228" s="2" t="n"/>
      <c r="B228" s="2" t="n"/>
      <c r="C228" s="2" t="n"/>
      <c r="D228" s="2" t="n"/>
      <c r="E228" s="2" t="n"/>
      <c r="F228" s="2" t="n"/>
      <c r="G228" s="2" t="n"/>
      <c r="H228" s="2" t="n"/>
      <c r="I228" s="2" t="n"/>
      <c r="J228" s="2" t="n"/>
      <c r="K228" s="2" t="n"/>
    </row>
    <row r="229" ht="14.25" customHeight="1" s="46">
      <c r="A229" s="2" t="n"/>
      <c r="B229" s="2" t="n"/>
      <c r="C229" s="2" t="n"/>
      <c r="D229" s="2" t="n"/>
      <c r="E229" s="2" t="n"/>
      <c r="F229" s="2" t="n"/>
      <c r="G229" s="2" t="n"/>
      <c r="H229" s="2" t="n"/>
      <c r="I229" s="2" t="n"/>
      <c r="J229" s="2" t="n"/>
      <c r="K229" s="2" t="n"/>
    </row>
    <row r="230" ht="14.25" customHeight="1" s="46">
      <c r="A230" s="2" t="n"/>
      <c r="B230" s="2" t="n"/>
      <c r="C230" s="2" t="n"/>
      <c r="D230" s="2" t="n"/>
      <c r="E230" s="2" t="n"/>
      <c r="F230" s="2" t="n"/>
      <c r="G230" s="2" t="n"/>
      <c r="H230" s="2" t="n"/>
      <c r="I230" s="2" t="n"/>
      <c r="J230" s="2" t="n"/>
      <c r="K230" s="2" t="n"/>
    </row>
    <row r="231" ht="14.25" customHeight="1" s="46">
      <c r="A231" s="2" t="n"/>
      <c r="B231" s="2" t="n"/>
      <c r="C231" s="2" t="n"/>
      <c r="D231" s="2" t="n"/>
      <c r="E231" s="2" t="n"/>
      <c r="F231" s="2" t="n"/>
      <c r="G231" s="2" t="n"/>
      <c r="H231" s="2" t="n"/>
      <c r="I231" s="2" t="n"/>
      <c r="J231" s="2" t="n"/>
      <c r="K231" s="2" t="n"/>
    </row>
    <row r="232" ht="14.25" customHeight="1" s="46">
      <c r="A232" s="2" t="n"/>
      <c r="B232" s="2" t="n"/>
      <c r="C232" s="2" t="n"/>
      <c r="D232" s="2" t="n"/>
      <c r="E232" s="2" t="n"/>
      <c r="F232" s="2" t="n"/>
      <c r="G232" s="2" t="n"/>
      <c r="H232" s="2" t="n"/>
      <c r="I232" s="2" t="n"/>
      <c r="J232" s="2" t="n"/>
      <c r="K232" s="2" t="n"/>
    </row>
    <row r="233" ht="14.25" customHeight="1" s="46">
      <c r="A233" s="2" t="n"/>
      <c r="B233" s="2" t="n"/>
      <c r="C233" s="2" t="n"/>
      <c r="D233" s="2" t="n"/>
      <c r="E233" s="2" t="n"/>
      <c r="F233" s="2" t="n"/>
      <c r="G233" s="2" t="n"/>
      <c r="H233" s="2" t="n"/>
      <c r="I233" s="2" t="n"/>
      <c r="J233" s="2" t="n"/>
      <c r="K233" s="2" t="n"/>
    </row>
    <row r="234" ht="14.25" customHeight="1" s="46">
      <c r="A234" s="2" t="n"/>
      <c r="B234" s="2" t="n"/>
      <c r="C234" s="2" t="n"/>
      <c r="D234" s="2" t="n"/>
      <c r="E234" s="2" t="n"/>
      <c r="F234" s="2" t="n"/>
      <c r="G234" s="2" t="n"/>
      <c r="H234" s="2" t="n"/>
      <c r="I234" s="2" t="n"/>
      <c r="J234" s="2" t="n"/>
      <c r="K234" s="2" t="n"/>
    </row>
    <row r="235" ht="14.25" customHeight="1" s="46">
      <c r="A235" s="2" t="n"/>
      <c r="B235" s="2" t="n"/>
      <c r="C235" s="2" t="n"/>
      <c r="D235" s="2" t="n"/>
      <c r="E235" s="2" t="n"/>
      <c r="F235" s="2" t="n"/>
      <c r="G235" s="2" t="n"/>
      <c r="H235" s="2" t="n"/>
      <c r="I235" s="2" t="n"/>
      <c r="J235" s="2" t="n"/>
      <c r="K235" s="2" t="n"/>
    </row>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T305"/>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26" customWidth="1" style="46" min="1" max="1"/>
    <col width="11" customWidth="1" style="46" min="2" max="2"/>
    <col width="30" customWidth="1" style="46" min="3" max="3"/>
    <col width="7" customWidth="1" style="46" min="4" max="15"/>
    <col width="9" customWidth="1" style="46" min="16" max="16"/>
    <col width="7" customWidth="1" style="46" min="17" max="17"/>
    <col width="9" customWidth="1" style="46" min="18" max="18"/>
    <col width="36" customWidth="1" style="46" min="19" max="19"/>
    <col width="24" customWidth="1" style="46" min="20" max="20"/>
  </cols>
  <sheetData>
    <row r="1" ht="5.25" customHeight="1" s="46">
      <c r="A1" s="1" t="inlineStr">
        <is>
          <t>Construction costs on the new scale</t>
        </is>
      </c>
      <c r="B1" s="2" t="n"/>
      <c r="C1" s="2" t="n"/>
      <c r="D1" s="2" t="n"/>
      <c r="E1" s="2" t="n"/>
      <c r="F1" s="2" t="n"/>
      <c r="G1" s="2" t="n"/>
      <c r="H1" s="2" t="n"/>
      <c r="I1" s="2" t="n"/>
      <c r="J1" s="2" t="n"/>
      <c r="K1" s="2" t="n"/>
      <c r="L1" s="2" t="n"/>
      <c r="M1" s="2" t="n"/>
      <c r="N1" s="2" t="n"/>
      <c r="O1" s="2" t="n"/>
      <c r="P1" s="2" t="n"/>
      <c r="Q1" s="2" t="n"/>
      <c r="R1" s="2" t="n"/>
      <c r="S1" s="2" t="n"/>
      <c r="T1" s="2" t="n"/>
    </row>
    <row r="2" ht="15" customHeight="1" s="46">
      <c r="A2" s="3" t="inlineStr">
        <is>
          <t>Today's costs divided by about four (G19) and rounded, with the changes from steps 1-2. Blue numbers are yours to change; the checks on the right follow them.</t>
        </is>
      </c>
      <c r="B2" s="2" t="n"/>
      <c r="C2" s="2" t="n"/>
      <c r="D2" s="2" t="n"/>
      <c r="E2" s="2" t="n"/>
      <c r="F2" s="2" t="n"/>
      <c r="G2" s="2" t="n"/>
      <c r="H2" s="2" t="n"/>
      <c r="I2" s="2" t="n"/>
      <c r="J2" s="2" t="n"/>
      <c r="K2" s="2" t="n"/>
      <c r="L2" s="2" t="n"/>
      <c r="M2" s="2" t="n"/>
      <c r="N2" s="2" t="n"/>
      <c r="O2" s="2" t="n"/>
      <c r="P2" s="2" t="n"/>
      <c r="Q2" s="2" t="n"/>
      <c r="R2" s="2" t="n"/>
      <c r="S2" s="2" t="n"/>
      <c r="T2" s="2" t="n"/>
    </row>
    <row r="3" ht="14.25" customHeight="1" s="46">
      <c r="A3" s="2" t="n"/>
      <c r="B3" s="2" t="n"/>
      <c r="C3" s="2" t="n"/>
      <c r="D3" s="2" t="n"/>
      <c r="E3" s="2" t="n"/>
      <c r="F3" s="2" t="n"/>
      <c r="G3" s="2" t="n"/>
      <c r="H3" s="2" t="n"/>
      <c r="I3" s="2" t="n"/>
      <c r="J3" s="2" t="n"/>
      <c r="K3" s="2" t="n"/>
      <c r="L3" s="2" t="n"/>
      <c r="M3" s="2" t="n"/>
      <c r="N3" s="2" t="n"/>
      <c r="O3" s="2" t="n"/>
      <c r="P3" s="2" t="n"/>
      <c r="Q3" s="2" t="n"/>
      <c r="R3" s="2" t="n"/>
      <c r="S3" s="2" t="n"/>
      <c r="T3" s="2" t="n"/>
    </row>
    <row r="4" ht="30" customHeight="1" s="46">
      <c r="A4" s="9" t="inlineStr">
        <is>
          <t>Building</t>
        </is>
      </c>
      <c r="B4" s="9" t="inlineStr">
        <is>
          <t>Group</t>
        </is>
      </c>
      <c r="C4" s="9" t="inlineStr">
        <is>
          <t>Cost today</t>
        </is>
      </c>
      <c r="D4" s="9" t="inlineStr">
        <is>
          <t>Timber</t>
        </is>
      </c>
      <c r="E4" s="9" t="inlineStr">
        <is>
          <t>Planks</t>
        </is>
      </c>
      <c r="F4" s="9" t="inlineStr">
        <is>
          <t>Wood parts</t>
        </is>
      </c>
      <c r="G4" s="9" t="inlineStr">
        <is>
          <t>Stone</t>
        </is>
      </c>
      <c r="H4" s="9" t="inlineStr">
        <is>
          <t>Dressed stone</t>
        </is>
      </c>
      <c r="I4" s="9" t="inlineStr">
        <is>
          <t>Tiles</t>
        </is>
      </c>
      <c r="J4" s="9" t="inlineStr">
        <is>
          <t>Mortar</t>
        </is>
      </c>
      <c r="K4" s="9" t="inlineStr">
        <is>
          <t>Glass</t>
        </is>
      </c>
      <c r="L4" s="9" t="inlineStr">
        <is>
          <t>Stained glass</t>
        </is>
      </c>
      <c r="M4" s="9" t="inlineStr">
        <is>
          <t>Tools</t>
        </is>
      </c>
      <c r="N4" s="9" t="inlineStr">
        <is>
          <t>Books</t>
        </is>
      </c>
      <c r="O4" s="9" t="inlineStr">
        <is>
          <t>Coins</t>
        </is>
      </c>
      <c r="P4" s="9" t="inlineStr">
        <is>
          <t>Materials</t>
        </is>
      </c>
      <c r="Q4" s="9" t="inlineStr">
        <is>
          <t>Units</t>
        </is>
      </c>
      <c r="R4" s="9" t="inlineStr">
        <is>
          <t>G12 (max 4)</t>
        </is>
      </c>
      <c r="S4" s="9" t="inlineStr">
        <is>
          <t>Notes</t>
        </is>
      </c>
      <c r="T4" s="9" t="inlineStr">
        <is>
          <t>Your notes</t>
        </is>
      </c>
    </row>
    <row r="5" ht="15" customHeight="1" s="46">
      <c r="A5" s="24" t="inlineStr">
        <is>
          <t>Homes</t>
        </is>
      </c>
      <c r="B5" s="24" t="n"/>
      <c r="C5" s="24" t="n"/>
      <c r="D5" s="24" t="n"/>
      <c r="E5" s="24" t="n"/>
      <c r="F5" s="24" t="n"/>
      <c r="G5" s="24" t="n"/>
      <c r="H5" s="24" t="n"/>
      <c r="I5" s="24" t="n"/>
      <c r="J5" s="24" t="n"/>
      <c r="K5" s="24" t="n"/>
      <c r="L5" s="24" t="n"/>
      <c r="M5" s="24" t="n"/>
      <c r="N5" s="24" t="n"/>
      <c r="O5" s="24" t="n"/>
      <c r="P5" s="24" t="n"/>
      <c r="Q5" s="24" t="n"/>
      <c r="R5" s="24" t="n"/>
      <c r="S5" s="24" t="n"/>
      <c r="T5" s="24" t="n"/>
    </row>
    <row r="6" ht="15" customHeight="1" s="46">
      <c r="A6" s="7" t="inlineStr">
        <is>
          <t>Cottage</t>
        </is>
      </c>
      <c r="B6" s="7" t="inlineStr">
        <is>
          <t>Homes</t>
        </is>
      </c>
      <c r="C6" s="7" t="inlineStr">
        <is>
          <t>12 timber</t>
        </is>
      </c>
      <c r="D6" s="27" t="n">
        <v>4</v>
      </c>
      <c r="E6" s="27" t="n"/>
      <c r="F6" s="27" t="n"/>
      <c r="G6" s="27" t="n"/>
      <c r="H6" s="27" t="n"/>
      <c r="I6" s="27" t="n"/>
      <c r="J6" s="27" t="n"/>
      <c r="K6" s="27" t="n"/>
      <c r="L6" s="27" t="n"/>
      <c r="M6" s="27" t="n"/>
      <c r="N6" s="27" t="n"/>
      <c r="O6" s="27" t="n"/>
      <c r="P6" s="28">
        <f>COUNT(D6:N6)</f>
        <v/>
      </c>
      <c r="Q6" s="28">
        <f>SUM(D6:N6)</f>
        <v/>
      </c>
      <c r="R6" s="28">
        <f>IF(P6&lt;=4,"OK","Too many")</f>
        <v/>
      </c>
      <c r="S6" s="7" t="n"/>
      <c r="T6" s="45" t="n"/>
    </row>
    <row r="7" ht="15" customHeight="1" s="46">
      <c r="A7" s="7" t="inlineStr">
        <is>
          <t>Timber House (upgrade)</t>
        </is>
      </c>
      <c r="B7" s="7" t="inlineStr">
        <is>
          <t>Homes</t>
        </is>
      </c>
      <c r="C7" s="7" t="inlineStr">
        <is>
          <t>12 planks, 6 timber</t>
        </is>
      </c>
      <c r="D7" s="27" t="n">
        <v>2</v>
      </c>
      <c r="E7" s="27" t="n">
        <v>4</v>
      </c>
      <c r="F7" s="27" t="n"/>
      <c r="G7" s="27" t="n"/>
      <c r="H7" s="27" t="n"/>
      <c r="I7" s="27" t="n"/>
      <c r="J7" s="27" t="n"/>
      <c r="K7" s="27" t="n"/>
      <c r="L7" s="27" t="n"/>
      <c r="M7" s="27" t="n"/>
      <c r="N7" s="27" t="n"/>
      <c r="O7" s="27" t="n"/>
      <c r="P7" s="28">
        <f>COUNT(D7:N7)</f>
        <v/>
      </c>
      <c r="Q7" s="28">
        <f>SUM(D7:N7)</f>
        <v/>
      </c>
      <c r="R7" s="28">
        <f>IF(P7&lt;=4,"OK","Too many")</f>
        <v/>
      </c>
      <c r="S7" s="7" t="n"/>
      <c r="T7" s="45" t="n"/>
    </row>
    <row r="8" ht="15" customHeight="1" s="46">
      <c r="A8" s="7" t="inlineStr">
        <is>
          <t>Townhouse (upgrade)</t>
        </is>
      </c>
      <c r="B8" s="7" t="inlineStr">
        <is>
          <t>Homes</t>
        </is>
      </c>
      <c r="C8" s="7" t="inlineStr">
        <is>
          <t>20 planks, 15 tiles, 10 stone</t>
        </is>
      </c>
      <c r="D8" s="27" t="n"/>
      <c r="E8" s="27" t="n">
        <v>6</v>
      </c>
      <c r="F8" s="27" t="n"/>
      <c r="G8" s="27" t="n">
        <v>4</v>
      </c>
      <c r="H8" s="27" t="n"/>
      <c r="I8" s="27" t="n">
        <v>10</v>
      </c>
      <c r="J8" s="27" t="n"/>
      <c r="K8" s="27" t="n"/>
      <c r="L8" s="27" t="n"/>
      <c r="M8" s="27" t="n"/>
      <c r="N8" s="27" t="n"/>
      <c r="O8" s="27" t="n"/>
      <c r="P8" s="28">
        <f>COUNT(D8:N8)</f>
        <v/>
      </c>
      <c r="Q8" s="28">
        <f>SUM(D8:N8)</f>
        <v/>
      </c>
      <c r="R8" s="28">
        <f>IF(P8&lt;=4,"OK","Too many")</f>
        <v/>
      </c>
      <c r="S8" s="7" t="inlineStr">
        <is>
          <t>Tools dropped (your edit).</t>
        </is>
      </c>
      <c r="T8" s="45" t="n"/>
    </row>
    <row r="9" ht="23.25" customHeight="1" s="46">
      <c r="A9" s="7" t="inlineStr">
        <is>
          <t>Merchant's House (upgrade)</t>
        </is>
      </c>
      <c r="B9" s="7" t="inlineStr">
        <is>
          <t>Homes</t>
        </is>
      </c>
      <c r="C9" s="7" t="inlineStr">
        <is>
          <t>10 dressed stone, 20 tiles, 10 mortar, 5 glass, 20 coins</t>
        </is>
      </c>
      <c r="D9" s="27" t="n"/>
      <c r="E9" s="27" t="n"/>
      <c r="F9" s="27" t="n"/>
      <c r="G9" s="27" t="n"/>
      <c r="H9" s="27" t="n">
        <v>6</v>
      </c>
      <c r="I9" s="27" t="n">
        <v>10</v>
      </c>
      <c r="J9" s="27" t="n">
        <v>4</v>
      </c>
      <c r="K9" s="27" t="n">
        <v>4</v>
      </c>
      <c r="L9" s="27" t="n"/>
      <c r="M9" s="27" t="n"/>
      <c r="N9" s="27" t="n"/>
      <c r="O9" s="27" t="n">
        <v>20</v>
      </c>
      <c r="P9" s="28">
        <f>COUNT(D9:N9)</f>
        <v/>
      </c>
      <c r="Q9" s="28">
        <f>SUM(D9:N9)</f>
        <v/>
      </c>
      <c r="R9" s="28">
        <f>IF(P9&lt;=4,"OK","Too many")</f>
        <v/>
      </c>
      <c r="S9" s="7" t="n"/>
      <c r="T9" s="45" t="n"/>
    </row>
    <row r="10" ht="23.25" customHeight="1" s="46">
      <c r="A10" s="7" t="inlineStr">
        <is>
          <t>Patrician House (upgrade)</t>
        </is>
      </c>
      <c r="B10" s="7" t="inlineStr">
        <is>
          <t>Homes</t>
        </is>
      </c>
      <c r="C10" s="7" t="inlineStr">
        <is>
          <t>20 dressed stone, 15 mortar, 4 stained glass, 100 coins</t>
        </is>
      </c>
      <c r="D10" s="27" t="n"/>
      <c r="E10" s="27" t="n"/>
      <c r="F10" s="27" t="n"/>
      <c r="G10" s="27" t="n"/>
      <c r="H10" s="27" t="n">
        <v>6</v>
      </c>
      <c r="I10" s="27" t="n"/>
      <c r="J10" s="27" t="n">
        <v>4</v>
      </c>
      <c r="K10" s="27" t="n">
        <v>10</v>
      </c>
      <c r="L10" s="27" t="n">
        <v>6</v>
      </c>
      <c r="M10" s="27" t="n"/>
      <c r="N10" s="27" t="n"/>
      <c r="O10" s="27" t="n">
        <v>100</v>
      </c>
      <c r="P10" s="28">
        <f>COUNT(D10:N10)</f>
        <v/>
      </c>
      <c r="Q10" s="28">
        <f>SUM(D10:N10)</f>
        <v/>
      </c>
      <c r="R10" s="28">
        <f>IF(P10&lt;=4,"OK","Too many")</f>
        <v/>
      </c>
      <c r="S10" s="7" t="n"/>
      <c r="T10" s="45" t="n"/>
    </row>
    <row r="11" ht="15" customHeight="1" s="46">
      <c r="A11" s="24" t="inlineStr">
        <is>
          <t>Production: timber, stone &amp; earth</t>
        </is>
      </c>
      <c r="B11" s="24" t="n"/>
      <c r="C11" s="24" t="n"/>
      <c r="D11" s="24" t="n"/>
      <c r="E11" s="24" t="n"/>
      <c r="F11" s="24" t="n"/>
      <c r="G11" s="24" t="n"/>
      <c r="H11" s="24" t="n"/>
      <c r="I11" s="24" t="n"/>
      <c r="J11" s="24" t="n"/>
      <c r="K11" s="24" t="n"/>
      <c r="L11" s="24" t="n"/>
      <c r="M11" s="24" t="n"/>
      <c r="N11" s="24" t="n"/>
      <c r="O11" s="24" t="n"/>
      <c r="P11" s="24" t="n"/>
      <c r="Q11" s="24" t="n"/>
      <c r="R11" s="24" t="n"/>
      <c r="S11" s="24" t="n"/>
      <c r="T11" s="24" t="n"/>
    </row>
    <row r="12" ht="15" customHeight="1" s="46">
      <c r="A12" s="7" t="inlineStr">
        <is>
          <t>Woodcutter's Lodge</t>
        </is>
      </c>
      <c r="B12" s="7" t="inlineStr">
        <is>
          <t>Production</t>
        </is>
      </c>
      <c r="C12" s="7" t="inlineStr">
        <is>
          <t>15 timber</t>
        </is>
      </c>
      <c r="D12" s="27" t="n">
        <v>5</v>
      </c>
      <c r="E12" s="27" t="n"/>
      <c r="F12" s="27" t="n"/>
      <c r="G12" s="27" t="n"/>
      <c r="H12" s="27" t="n"/>
      <c r="I12" s="27" t="n"/>
      <c r="J12" s="27" t="n"/>
      <c r="K12" s="27" t="n"/>
      <c r="L12" s="27" t="n"/>
      <c r="M12" s="27" t="n"/>
      <c r="N12" s="27" t="n"/>
      <c r="O12" s="27" t="n"/>
      <c r="P12" s="28">
        <f>COUNT(D12:N12)</f>
        <v/>
      </c>
      <c r="Q12" s="28">
        <f>SUM(D12:N12)</f>
        <v/>
      </c>
      <c r="R12" s="28">
        <f>IF(P12&lt;=4,"OK","Too many")</f>
        <v/>
      </c>
      <c r="S12" s="7" t="n"/>
      <c r="T12" s="45" t="n"/>
    </row>
    <row r="13" ht="15" customHeight="1" s="46">
      <c r="A13" s="7" t="inlineStr">
        <is>
          <t>Forester's Hut</t>
        </is>
      </c>
      <c r="B13" s="7" t="inlineStr">
        <is>
          <t>Production</t>
        </is>
      </c>
      <c r="C13" s="7" t="inlineStr">
        <is>
          <t>8 timber</t>
        </is>
      </c>
      <c r="D13" s="27" t="n">
        <v>5</v>
      </c>
      <c r="E13" s="27" t="n"/>
      <c r="F13" s="27" t="n"/>
      <c r="G13" s="27" t="n"/>
      <c r="H13" s="27" t="n"/>
      <c r="I13" s="27" t="n"/>
      <c r="J13" s="27" t="n"/>
      <c r="K13" s="27" t="n"/>
      <c r="L13" s="27" t="n"/>
      <c r="M13" s="27" t="n"/>
      <c r="N13" s="27" t="n"/>
      <c r="O13" s="27" t="n"/>
      <c r="P13" s="28">
        <f>COUNT(D13:N13)</f>
        <v/>
      </c>
      <c r="Q13" s="28">
        <f>SUM(D13:N13)</f>
        <v/>
      </c>
      <c r="R13" s="28">
        <f>IF(P13&lt;=4,"OK","Too many")</f>
        <v/>
      </c>
      <c r="S13" s="7" t="n"/>
      <c r="T13" s="45" t="n"/>
    </row>
    <row r="14" ht="15" customHeight="1" s="46">
      <c r="A14" s="7" t="inlineStr">
        <is>
          <t>Sawpit</t>
        </is>
      </c>
      <c r="B14" s="7" t="inlineStr">
        <is>
          <t>Production</t>
        </is>
      </c>
      <c r="C14" s="7" t="inlineStr">
        <is>
          <t>25 timber</t>
        </is>
      </c>
      <c r="D14" s="27" t="n">
        <v>4</v>
      </c>
      <c r="E14" s="27" t="n"/>
      <c r="F14" s="27" t="n"/>
      <c r="G14" s="27" t="n"/>
      <c r="H14" s="27" t="n"/>
      <c r="I14" s="27" t="n"/>
      <c r="J14" s="27" t="n"/>
      <c r="K14" s="27" t="n"/>
      <c r="L14" s="27" t="n"/>
      <c r="M14" s="27" t="n"/>
      <c r="N14" s="27" t="n"/>
      <c r="O14" s="27" t="n"/>
      <c r="P14" s="28">
        <f>COUNT(D14:N14)</f>
        <v/>
      </c>
      <c r="Q14" s="28">
        <f>SUM(D14:N14)</f>
        <v/>
      </c>
      <c r="R14" s="28">
        <f>IF(P14&lt;=4,"OK","Too many")</f>
        <v/>
      </c>
      <c r="S14" s="7" t="n"/>
      <c r="T14" s="45" t="n"/>
    </row>
    <row r="15" ht="15" customHeight="1" s="46">
      <c r="A15" s="7" t="inlineStr">
        <is>
          <t>Carpenter's Workshop</t>
        </is>
      </c>
      <c r="B15" s="7" t="inlineStr">
        <is>
          <t>Production</t>
        </is>
      </c>
      <c r="C15" s="7" t="inlineStr">
        <is>
          <t>15 timber, 10 planks</t>
        </is>
      </c>
      <c r="D15" s="27" t="n">
        <v>4</v>
      </c>
      <c r="E15" s="27" t="n">
        <v>4</v>
      </c>
      <c r="F15" s="27" t="n"/>
      <c r="G15" s="27" t="n"/>
      <c r="H15" s="27" t="n"/>
      <c r="I15" s="27" t="n"/>
      <c r="J15" s="27" t="n"/>
      <c r="K15" s="27" t="n"/>
      <c r="L15" s="27" t="n"/>
      <c r="M15" s="27" t="n"/>
      <c r="N15" s="27" t="n"/>
      <c r="O15" s="27" t="n"/>
      <c r="P15" s="28">
        <f>COUNT(D15:N15)</f>
        <v/>
      </c>
      <c r="Q15" s="28">
        <f>SUM(D15:N15)</f>
        <v/>
      </c>
      <c r="R15" s="28">
        <f>IF(P15&lt;=4,"OK","Too many")</f>
        <v/>
      </c>
      <c r="S15" s="7" t="n"/>
      <c r="T15" s="45" t="n"/>
    </row>
    <row r="16" ht="15" customHeight="1" s="46">
      <c r="A16" s="7" t="inlineStr">
        <is>
          <t>Cooper's Workshop</t>
        </is>
      </c>
      <c r="B16" s="7" t="inlineStr">
        <is>
          <t>Production</t>
        </is>
      </c>
      <c r="C16" s="7" t="inlineStr">
        <is>
          <t>15 timber, 10 planks</t>
        </is>
      </c>
      <c r="D16" s="27" t="n">
        <v>4</v>
      </c>
      <c r="E16" s="27" t="n">
        <v>4</v>
      </c>
      <c r="F16" s="27" t="n"/>
      <c r="G16" s="27" t="n"/>
      <c r="H16" s="27" t="n"/>
      <c r="I16" s="27" t="n"/>
      <c r="J16" s="27" t="n"/>
      <c r="K16" s="27" t="n"/>
      <c r="L16" s="27" t="n"/>
      <c r="M16" s="27" t="n"/>
      <c r="N16" s="27" t="n"/>
      <c r="O16" s="27" t="n"/>
      <c r="P16" s="28">
        <f>COUNT(D16:N16)</f>
        <v/>
      </c>
      <c r="Q16" s="28">
        <f>SUM(D16:N16)</f>
        <v/>
      </c>
      <c r="R16" s="28">
        <f>IF(P16&lt;=4,"OK","Too many")</f>
        <v/>
      </c>
      <c r="S16" s="7" t="n"/>
      <c r="T16" s="45" t="n"/>
    </row>
    <row r="17" ht="15" customHeight="1" s="46">
      <c r="A17" s="7" t="inlineStr">
        <is>
          <t>Stone Quarry</t>
        </is>
      </c>
      <c r="B17" s="7" t="inlineStr">
        <is>
          <t>Production</t>
        </is>
      </c>
      <c r="C17" s="7" t="inlineStr">
        <is>
          <t>20 timber</t>
        </is>
      </c>
      <c r="D17" s="27" t="n">
        <v>5</v>
      </c>
      <c r="E17" s="27" t="n"/>
      <c r="F17" s="27" t="n"/>
      <c r="G17" s="27" t="n"/>
      <c r="H17" s="27" t="n"/>
      <c r="I17" s="27" t="n"/>
      <c r="J17" s="27" t="n"/>
      <c r="K17" s="27" t="n"/>
      <c r="L17" s="27" t="n"/>
      <c r="M17" s="27" t="n"/>
      <c r="N17" s="27" t="n"/>
      <c r="O17" s="27" t="n"/>
      <c r="P17" s="28">
        <f>COUNT(D17:N17)</f>
        <v/>
      </c>
      <c r="Q17" s="28">
        <f>SUM(D17:N17)</f>
        <v/>
      </c>
      <c r="R17" s="28">
        <f>IF(P17&lt;=4,"OK","Too many")</f>
        <v/>
      </c>
      <c r="S17" s="7" t="n"/>
      <c r="T17" s="45" t="n"/>
    </row>
    <row r="18" ht="15" customHeight="1" s="46">
      <c r="A18" s="7" t="inlineStr">
        <is>
          <t>Clay Pit</t>
        </is>
      </c>
      <c r="B18" s="7" t="inlineStr">
        <is>
          <t>Production</t>
        </is>
      </c>
      <c r="C18" s="7" t="inlineStr">
        <is>
          <t>15 timber</t>
        </is>
      </c>
      <c r="D18" s="27" t="n">
        <v>4</v>
      </c>
      <c r="E18" s="27" t="n"/>
      <c r="F18" s="27" t="n"/>
      <c r="G18" s="27" t="n"/>
      <c r="H18" s="27" t="n"/>
      <c r="I18" s="27" t="n"/>
      <c r="J18" s="27" t="n"/>
      <c r="K18" s="27" t="n"/>
      <c r="L18" s="27" t="n"/>
      <c r="M18" s="27" t="n"/>
      <c r="N18" s="27" t="n"/>
      <c r="O18" s="27" t="n"/>
      <c r="P18" s="28">
        <f>COUNT(D18:N18)</f>
        <v/>
      </c>
      <c r="Q18" s="28">
        <f>SUM(D18:N18)</f>
        <v/>
      </c>
      <c r="R18" s="28">
        <f>IF(P18&lt;=4,"OK","Too many")</f>
        <v/>
      </c>
      <c r="S18" s="7" t="n"/>
      <c r="T18" s="45" t="n"/>
    </row>
    <row r="19" ht="15" customHeight="1" s="46">
      <c r="A19" s="7" t="inlineStr">
        <is>
          <t>Tile Kiln</t>
        </is>
      </c>
      <c r="B19" s="7" t="inlineStr">
        <is>
          <t>Production</t>
        </is>
      </c>
      <c r="C19" s="7" t="inlineStr">
        <is>
          <t>15 timber, 8 stone</t>
        </is>
      </c>
      <c r="D19" s="27" t="n">
        <v>4</v>
      </c>
      <c r="E19" s="27" t="n"/>
      <c r="F19" s="27" t="n"/>
      <c r="G19" s="27" t="n">
        <v>4</v>
      </c>
      <c r="H19" s="27" t="n"/>
      <c r="I19" s="27" t="n"/>
      <c r="J19" s="27" t="n"/>
      <c r="K19" s="27" t="n"/>
      <c r="L19" s="27" t="n"/>
      <c r="M19" s="27" t="n"/>
      <c r="N19" s="27" t="n"/>
      <c r="O19" s="27" t="n"/>
      <c r="P19" s="28">
        <f>COUNT(D19:N19)</f>
        <v/>
      </c>
      <c r="Q19" s="28">
        <f>SUM(D19:N19)</f>
        <v/>
      </c>
      <c r="R19" s="28">
        <f>IF(P19&lt;=4,"OK","Too many")</f>
        <v/>
      </c>
      <c r="S19" s="7" t="n"/>
      <c r="T19" s="45" t="n"/>
    </row>
    <row r="20" ht="15" customHeight="1" s="46">
      <c r="A20" s="7" t="inlineStr">
        <is>
          <t>Stonemason's Yard</t>
        </is>
      </c>
      <c r="B20" s="7" t="inlineStr">
        <is>
          <t>Production</t>
        </is>
      </c>
      <c r="C20" s="7" t="inlineStr">
        <is>
          <t>20 timber, 4 stone</t>
        </is>
      </c>
      <c r="D20" s="27" t="n">
        <v>4</v>
      </c>
      <c r="E20" s="27" t="n"/>
      <c r="F20" s="27" t="n"/>
      <c r="G20" s="27" t="n">
        <v>2</v>
      </c>
      <c r="H20" s="27" t="n"/>
      <c r="I20" s="27" t="n"/>
      <c r="J20" s="27" t="n"/>
      <c r="K20" s="27" t="n"/>
      <c r="L20" s="27" t="n"/>
      <c r="M20" s="27" t="n"/>
      <c r="N20" s="27" t="n"/>
      <c r="O20" s="27" t="n"/>
      <c r="P20" s="28">
        <f>COUNT(D20:N20)</f>
        <v/>
      </c>
      <c r="Q20" s="28">
        <f>SUM(D20:N20)</f>
        <v/>
      </c>
      <c r="R20" s="28">
        <f>IF(P20&lt;=4,"OK","Too many")</f>
        <v/>
      </c>
      <c r="S20" s="7" t="n"/>
      <c r="T20" s="45" t="n"/>
    </row>
    <row r="21" ht="15" customHeight="1" s="46">
      <c r="A21" s="7" t="inlineStr">
        <is>
          <t>Sand Pit</t>
        </is>
      </c>
      <c r="B21" s="7" t="inlineStr">
        <is>
          <t>Production</t>
        </is>
      </c>
      <c r="C21" s="7" t="inlineStr">
        <is>
          <t>15 timber</t>
        </is>
      </c>
      <c r="D21" s="27" t="n">
        <v>4</v>
      </c>
      <c r="E21" s="27" t="n"/>
      <c r="F21" s="27" t="n"/>
      <c r="G21" s="27" t="n"/>
      <c r="H21" s="27" t="n"/>
      <c r="I21" s="27" t="n"/>
      <c r="J21" s="27" t="n"/>
      <c r="K21" s="27" t="n"/>
      <c r="L21" s="27" t="n"/>
      <c r="M21" s="27" t="n"/>
      <c r="N21" s="27" t="n"/>
      <c r="O21" s="27" t="n"/>
      <c r="P21" s="28">
        <f>COUNT(D21:N21)</f>
        <v/>
      </c>
      <c r="Q21" s="28">
        <f>SUM(D21:N21)</f>
        <v/>
      </c>
      <c r="R21" s="28">
        <f>IF(P21&lt;=4,"OK","Too many")</f>
        <v/>
      </c>
      <c r="S21" s="7" t="n"/>
      <c r="T21" s="45" t="n"/>
    </row>
    <row r="22" ht="15" customHeight="1" s="46">
      <c r="A22" s="7" t="inlineStr">
        <is>
          <t>Lime Kiln</t>
        </is>
      </c>
      <c r="B22" s="7" t="inlineStr">
        <is>
          <t>Production</t>
        </is>
      </c>
      <c r="C22" s="7" t="inlineStr">
        <is>
          <t>20 stone, 10 timber</t>
        </is>
      </c>
      <c r="D22" s="27" t="n">
        <v>3</v>
      </c>
      <c r="E22" s="27" t="n"/>
      <c r="F22" s="27" t="n"/>
      <c r="G22" s="27" t="n">
        <v>6</v>
      </c>
      <c r="H22" s="27" t="n"/>
      <c r="I22" s="27" t="n"/>
      <c r="J22" s="27" t="n"/>
      <c r="K22" s="27" t="n"/>
      <c r="L22" s="27" t="n"/>
      <c r="M22" s="27" t="n"/>
      <c r="N22" s="27" t="n"/>
      <c r="O22" s="27" t="n"/>
      <c r="P22" s="28">
        <f>COUNT(D22:N22)</f>
        <v/>
      </c>
      <c r="Q22" s="28">
        <f>SUM(D22:N22)</f>
        <v/>
      </c>
      <c r="R22" s="28">
        <f>IF(P22&lt;=4,"OK","Too many")</f>
        <v/>
      </c>
      <c r="S22" s="7" t="n"/>
      <c r="T22" s="45" t="n"/>
    </row>
    <row r="23" ht="15" customHeight="1" s="46">
      <c r="A23" s="7" t="inlineStr">
        <is>
          <t>Potter's Workshop</t>
        </is>
      </c>
      <c r="B23" s="7" t="inlineStr">
        <is>
          <t>Production</t>
        </is>
      </c>
      <c r="C23" s="7" t="inlineStr">
        <is>
          <t>15 timber, 8 stone, 30 coins</t>
        </is>
      </c>
      <c r="D23" s="27" t="n">
        <v>4</v>
      </c>
      <c r="E23" s="27" t="n">
        <v>6</v>
      </c>
      <c r="F23" s="27" t="n"/>
      <c r="G23" s="27" t="n">
        <v>2</v>
      </c>
      <c r="H23" s="27" t="n"/>
      <c r="I23" s="27" t="n"/>
      <c r="J23" s="27" t="n"/>
      <c r="K23" s="27" t="n"/>
      <c r="L23" s="27" t="n"/>
      <c r="M23" s="27" t="n"/>
      <c r="N23" s="27" t="n"/>
      <c r="O23" s="27" t="n">
        <v>15</v>
      </c>
      <c r="P23" s="28">
        <f>COUNT(D23:N23)</f>
        <v/>
      </c>
      <c r="Q23" s="28">
        <f>SUM(D23:N23)</f>
        <v/>
      </c>
      <c r="R23" s="28">
        <f>IF(P23&lt;=4,"OK","Too many")</f>
        <v/>
      </c>
      <c r="S23" s="7" t="n"/>
      <c r="T23" s="45" t="n"/>
    </row>
    <row r="24" ht="15" customHeight="1" s="46">
      <c r="A24" s="24" t="inlineStr">
        <is>
          <t>Production: food &amp; farming</t>
        </is>
      </c>
      <c r="B24" s="24" t="n"/>
      <c r="C24" s="24" t="n"/>
      <c r="D24" s="24" t="n"/>
      <c r="E24" s="24" t="n"/>
      <c r="F24" s="24" t="n"/>
      <c r="G24" s="24" t="n"/>
      <c r="H24" s="24" t="n"/>
      <c r="I24" s="24" t="n"/>
      <c r="J24" s="24" t="n"/>
      <c r="K24" s="24" t="n"/>
      <c r="L24" s="24" t="n"/>
      <c r="M24" s="24" t="n"/>
      <c r="N24" s="24" t="n"/>
      <c r="O24" s="24" t="n"/>
      <c r="P24" s="24" t="n"/>
      <c r="Q24" s="24" t="n"/>
      <c r="R24" s="24" t="n"/>
      <c r="S24" s="24" t="n"/>
      <c r="T24" s="24" t="n"/>
    </row>
    <row r="25" ht="15" customHeight="1" s="46">
      <c r="A25" s="7" t="inlineStr">
        <is>
          <t>Farmstead</t>
        </is>
      </c>
      <c r="B25" s="7" t="inlineStr">
        <is>
          <t>Production</t>
        </is>
      </c>
      <c r="C25" s="7" t="inlineStr">
        <is>
          <t>25 timber</t>
        </is>
      </c>
      <c r="D25" s="27" t="n">
        <v>6</v>
      </c>
      <c r="E25" s="27" t="n"/>
      <c r="F25" s="27" t="n"/>
      <c r="G25" s="27" t="n"/>
      <c r="H25" s="27" t="n"/>
      <c r="I25" s="27" t="n"/>
      <c r="J25" s="27" t="n"/>
      <c r="K25" s="27" t="n"/>
      <c r="L25" s="27" t="n"/>
      <c r="M25" s="27" t="n"/>
      <c r="N25" s="27" t="n"/>
      <c r="O25" s="27" t="n"/>
      <c r="P25" s="28">
        <f>COUNT(D25:N25)</f>
        <v/>
      </c>
      <c r="Q25" s="28">
        <f>SUM(D25:N25)</f>
        <v/>
      </c>
      <c r="R25" s="28">
        <f>IF(P25&lt;=4,"OK","Too many")</f>
        <v/>
      </c>
      <c r="S25" s="7" t="n"/>
      <c r="T25" s="45" t="n"/>
    </row>
    <row r="26" ht="15" customHeight="1" s="46">
      <c r="A26" s="7" t="inlineStr">
        <is>
          <t>Windmill</t>
        </is>
      </c>
      <c r="B26" s="7" t="inlineStr">
        <is>
          <t>Production</t>
        </is>
      </c>
      <c r="C26" s="7" t="inlineStr">
        <is>
          <t>25 timber, 4 wood parts</t>
        </is>
      </c>
      <c r="D26" s="27" t="n">
        <v>6</v>
      </c>
      <c r="E26" s="27" t="n"/>
      <c r="F26" s="27" t="n">
        <v>4</v>
      </c>
      <c r="G26" s="27" t="n"/>
      <c r="H26" s="27" t="n"/>
      <c r="I26" s="27" t="n"/>
      <c r="J26" s="27" t="n"/>
      <c r="K26" s="27" t="n"/>
      <c r="L26" s="27" t="n"/>
      <c r="M26" s="27" t="n"/>
      <c r="N26" s="27" t="n"/>
      <c r="O26" s="27" t="n"/>
      <c r="P26" s="28">
        <f>COUNT(D26:N26)</f>
        <v/>
      </c>
      <c r="Q26" s="28">
        <f>SUM(D26:N26)</f>
        <v/>
      </c>
      <c r="R26" s="28">
        <f>IF(P26&lt;=4,"OK","Too many")</f>
        <v/>
      </c>
      <c r="S26" s="7" t="n"/>
      <c r="T26" s="45" t="n"/>
    </row>
    <row r="27" ht="15" customHeight="1" s="46">
      <c r="A27" s="7" t="inlineStr">
        <is>
          <t>Bakery</t>
        </is>
      </c>
      <c r="B27" s="7" t="inlineStr">
        <is>
          <t>Production</t>
        </is>
      </c>
      <c r="C27" s="7" t="inlineStr">
        <is>
          <t>20 timber, 4 stone</t>
        </is>
      </c>
      <c r="D27" s="27" t="n">
        <v>4</v>
      </c>
      <c r="E27" s="27" t="n">
        <v>8</v>
      </c>
      <c r="F27" s="27" t="n"/>
      <c r="G27" s="27" t="n">
        <v>2</v>
      </c>
      <c r="H27" s="27" t="n"/>
      <c r="I27" s="27" t="n"/>
      <c r="J27" s="27" t="n"/>
      <c r="K27" s="27" t="n"/>
      <c r="L27" s="27" t="n"/>
      <c r="M27" s="27" t="n"/>
      <c r="N27" s="27" t="n"/>
      <c r="O27" s="27" t="n"/>
      <c r="P27" s="28">
        <f>COUNT(D27:N27)</f>
        <v/>
      </c>
      <c r="Q27" s="28">
        <f>SUM(D27:N27)</f>
        <v/>
      </c>
      <c r="R27" s="28">
        <f>IF(P27&lt;=4,"OK","Too many")</f>
        <v/>
      </c>
      <c r="S27" s="7" t="n"/>
      <c r="T27" s="45" t="n"/>
    </row>
    <row r="28" ht="15" customHeight="1" s="46">
      <c r="A28" s="7" t="inlineStr">
        <is>
          <t>Watermill</t>
        </is>
      </c>
      <c r="B28" s="7" t="inlineStr">
        <is>
          <t>Production</t>
        </is>
      </c>
      <c r="C28" s="7" t="inlineStr">
        <is>
          <t>30 timber, 15 stone, 6 wood parts</t>
        </is>
      </c>
      <c r="D28" s="27" t="n">
        <v>14</v>
      </c>
      <c r="E28" s="27" t="n"/>
      <c r="F28" s="27" t="n">
        <v>10</v>
      </c>
      <c r="G28" s="27" t="n">
        <v>4</v>
      </c>
      <c r="H28" s="27" t="n"/>
      <c r="I28" s="27" t="n"/>
      <c r="J28" s="27" t="n"/>
      <c r="K28" s="27" t="n"/>
      <c r="L28" s="27" t="n"/>
      <c r="M28" s="27" t="n"/>
      <c r="N28" s="27" t="n"/>
      <c r="O28" s="27" t="n">
        <v>10</v>
      </c>
      <c r="P28" s="28">
        <f>COUNT(D28:N28)</f>
        <v/>
      </c>
      <c r="Q28" s="28">
        <f>SUM(D28:N28)</f>
        <v/>
      </c>
      <c r="R28" s="28">
        <f>IF(P28&lt;=4,"OK","Too many")</f>
        <v/>
      </c>
      <c r="S28" s="7" t="n"/>
      <c r="T28" s="45" t="n"/>
    </row>
    <row r="29" ht="15" customHeight="1" s="46">
      <c r="A29" s="7" t="inlineStr">
        <is>
          <t>Brewhouse</t>
        </is>
      </c>
      <c r="B29" s="7" t="inlineStr">
        <is>
          <t>Production</t>
        </is>
      </c>
      <c r="C29" s="7" t="inlineStr">
        <is>
          <t>20 timber, 10 planks</t>
        </is>
      </c>
      <c r="D29" s="27" t="n">
        <v>4</v>
      </c>
      <c r="E29" s="27" t="n">
        <v>8</v>
      </c>
      <c r="F29" s="27" t="n"/>
      <c r="G29" s="27" t="n"/>
      <c r="H29" s="27" t="n"/>
      <c r="I29" s="27" t="n"/>
      <c r="J29" s="27" t="n"/>
      <c r="K29" s="27" t="n"/>
      <c r="L29" s="27" t="n"/>
      <c r="M29" s="27" t="n"/>
      <c r="N29" s="27" t="n"/>
      <c r="O29" s="27" t="n"/>
      <c r="P29" s="28">
        <f>COUNT(D29:N29)</f>
        <v/>
      </c>
      <c r="Q29" s="28">
        <f>SUM(D29:N29)</f>
        <v/>
      </c>
      <c r="R29" s="28">
        <f>IF(P29&lt;=4,"OK","Too many")</f>
        <v/>
      </c>
      <c r="S29" s="7" t="n"/>
      <c r="T29" s="45" t="n"/>
    </row>
    <row r="30" ht="15" customHeight="1" s="46">
      <c r="A30" s="7" t="inlineStr">
        <is>
          <t>Animal Farm</t>
        </is>
      </c>
      <c r="B30" s="7" t="inlineStr">
        <is>
          <t>Production</t>
        </is>
      </c>
      <c r="C30" s="7" t="inlineStr">
        <is>
          <t>30 timber, 5 planks</t>
        </is>
      </c>
      <c r="D30" s="27" t="n">
        <v>6</v>
      </c>
      <c r="E30" s="27" t="n">
        <v>2</v>
      </c>
      <c r="F30" s="27" t="n"/>
      <c r="G30" s="27" t="n"/>
      <c r="H30" s="27" t="n"/>
      <c r="I30" s="27" t="n"/>
      <c r="J30" s="27" t="n"/>
      <c r="K30" s="27" t="n"/>
      <c r="L30" s="27" t="n"/>
      <c r="M30" s="27" t="n"/>
      <c r="N30" s="27" t="n"/>
      <c r="O30" s="27" t="n"/>
      <c r="P30" s="28">
        <f>COUNT(D30:N30)</f>
        <v/>
      </c>
      <c r="Q30" s="28">
        <f>SUM(D30:N30)</f>
        <v/>
      </c>
      <c r="R30" s="28">
        <f>IF(P30&lt;=4,"OK","Too many")</f>
        <v/>
      </c>
      <c r="S30" s="7" t="n"/>
      <c r="T30" s="45" t="n"/>
    </row>
    <row r="31" ht="15" customHeight="1" s="46">
      <c r="A31" s="7" t="inlineStr">
        <is>
          <t>Dairy</t>
        </is>
      </c>
      <c r="B31" s="7" t="inlineStr">
        <is>
          <t>Production</t>
        </is>
      </c>
      <c r="C31" s="7" t="inlineStr">
        <is>
          <t>20 timber</t>
        </is>
      </c>
      <c r="D31" s="27" t="n">
        <v>4</v>
      </c>
      <c r="E31" s="27" t="n">
        <v>6</v>
      </c>
      <c r="F31" s="27" t="n"/>
      <c r="G31" s="27" t="n"/>
      <c r="H31" s="27" t="n"/>
      <c r="I31" s="27" t="n"/>
      <c r="J31" s="27" t="n"/>
      <c r="K31" s="27" t="n"/>
      <c r="L31" s="27" t="n"/>
      <c r="M31" s="27" t="n"/>
      <c r="N31" s="27" t="n"/>
      <c r="O31" s="27" t="n"/>
      <c r="P31" s="28">
        <f>COUNT(D31:N31)</f>
        <v/>
      </c>
      <c r="Q31" s="28">
        <f>SUM(D31:N31)</f>
        <v/>
      </c>
      <c r="R31" s="28">
        <f>IF(P31&lt;=4,"OK","Too many")</f>
        <v/>
      </c>
      <c r="S31" s="7" t="n"/>
      <c r="T31" s="45" t="n"/>
    </row>
    <row r="32" ht="15" customHeight="1" s="46">
      <c r="A32" s="7" t="inlineStr">
        <is>
          <t>Orchard Keeper's Lodge</t>
        </is>
      </c>
      <c r="B32" s="7" t="inlineStr">
        <is>
          <t>Production</t>
        </is>
      </c>
      <c r="C32" s="7" t="inlineStr">
        <is>
          <t>20 timber, 5 planks</t>
        </is>
      </c>
      <c r="D32" s="27" t="n">
        <v>4</v>
      </c>
      <c r="E32" s="27" t="n">
        <v>2</v>
      </c>
      <c r="F32" s="27" t="n"/>
      <c r="G32" s="27" t="n"/>
      <c r="H32" s="27" t="n"/>
      <c r="I32" s="27" t="n"/>
      <c r="J32" s="27" t="n"/>
      <c r="K32" s="27" t="n"/>
      <c r="L32" s="27" t="n"/>
      <c r="M32" s="27" t="n"/>
      <c r="N32" s="27" t="n"/>
      <c r="O32" s="27" t="n"/>
      <c r="P32" s="28">
        <f>COUNT(D32:N32)</f>
        <v/>
      </c>
      <c r="Q32" s="28">
        <f>SUM(D32:N32)</f>
        <v/>
      </c>
      <c r="R32" s="28">
        <f>IF(P32&lt;=4,"OK","Too many")</f>
        <v/>
      </c>
      <c r="S32" s="7" t="n"/>
      <c r="T32" s="45" t="n"/>
    </row>
    <row r="33" ht="15" customHeight="1" s="46">
      <c r="A33" s="7" t="inlineStr">
        <is>
          <t>Beekeeper</t>
        </is>
      </c>
      <c r="B33" s="7" t="inlineStr">
        <is>
          <t>Production</t>
        </is>
      </c>
      <c r="C33" s="7" t="inlineStr">
        <is>
          <t>free</t>
        </is>
      </c>
      <c r="D33" s="27" t="n">
        <v>2</v>
      </c>
      <c r="E33" s="27" t="n">
        <v>6</v>
      </c>
      <c r="F33" s="27" t="n"/>
      <c r="G33" s="27" t="n"/>
      <c r="H33" s="27" t="n"/>
      <c r="I33" s="27" t="n"/>
      <c r="J33" s="27" t="n"/>
      <c r="K33" s="27" t="n"/>
      <c r="L33" s="27" t="n"/>
      <c r="M33" s="27" t="n"/>
      <c r="N33" s="27" t="n"/>
      <c r="O33" s="27" t="n">
        <v>15</v>
      </c>
      <c r="P33" s="28">
        <f>COUNT(D33:N33)</f>
        <v/>
      </c>
      <c r="Q33" s="28">
        <f>SUM(D33:N33)</f>
        <v/>
      </c>
      <c r="R33" s="28">
        <f>IF(P33&lt;=4,"OK","Too many")</f>
        <v/>
      </c>
      <c r="S33" s="7" t="inlineStr">
        <is>
          <t>New.</t>
        </is>
      </c>
      <c r="T33" s="45" t="n"/>
    </row>
    <row r="34" ht="15" customHeight="1" s="46">
      <c r="A34" s="7" t="inlineStr">
        <is>
          <t>Forager's Hut</t>
        </is>
      </c>
      <c r="B34" s="7" t="inlineStr">
        <is>
          <t>Production</t>
        </is>
      </c>
      <c r="C34" s="7" t="inlineStr">
        <is>
          <t>10 timber</t>
        </is>
      </c>
      <c r="D34" s="27" t="n">
        <v>5</v>
      </c>
      <c r="E34" s="27" t="n"/>
      <c r="F34" s="27" t="n"/>
      <c r="G34" s="27" t="n"/>
      <c r="H34" s="27" t="n"/>
      <c r="I34" s="27" t="n"/>
      <c r="J34" s="27" t="n"/>
      <c r="K34" s="27" t="n"/>
      <c r="L34" s="27" t="n"/>
      <c r="M34" s="27" t="n"/>
      <c r="N34" s="27" t="n"/>
      <c r="O34" s="27" t="n"/>
      <c r="P34" s="28">
        <f>COUNT(D34:N34)</f>
        <v/>
      </c>
      <c r="Q34" s="28">
        <f>SUM(D34:N34)</f>
        <v/>
      </c>
      <c r="R34" s="28">
        <f>IF(P34&lt;=4,"OK","Too many")</f>
        <v/>
      </c>
      <c r="S34" s="7" t="n"/>
      <c r="T34" s="45" t="n"/>
    </row>
    <row r="35" ht="15" customHeight="1" s="46">
      <c r="A35" s="7" t="inlineStr">
        <is>
          <t>Hunting Camp</t>
        </is>
      </c>
      <c r="B35" s="7" t="inlineStr">
        <is>
          <t>Production</t>
        </is>
      </c>
      <c r="C35" s="7" t="inlineStr">
        <is>
          <t>15 timber</t>
        </is>
      </c>
      <c r="D35" s="27" t="n">
        <v>5</v>
      </c>
      <c r="E35" s="27" t="n"/>
      <c r="F35" s="27" t="n"/>
      <c r="G35" s="27" t="n"/>
      <c r="H35" s="27" t="n"/>
      <c r="I35" s="27" t="n"/>
      <c r="J35" s="27" t="n"/>
      <c r="K35" s="27" t="n"/>
      <c r="L35" s="27" t="n"/>
      <c r="M35" s="27" t="n"/>
      <c r="N35" s="27" t="n"/>
      <c r="O35" s="27" t="n"/>
      <c r="P35" s="28">
        <f>COUNT(D35:N35)</f>
        <v/>
      </c>
      <c r="Q35" s="28">
        <f>SUM(D35:N35)</f>
        <v/>
      </c>
      <c r="R35" s="28">
        <f>IF(P35&lt;=4,"OK","Too many")</f>
        <v/>
      </c>
      <c r="S35" s="7" t="n"/>
      <c r="T35" s="45" t="n"/>
    </row>
    <row r="36" ht="15" customHeight="1" s="46">
      <c r="A36" s="7" t="inlineStr">
        <is>
          <t>Fisher's Hut</t>
        </is>
      </c>
      <c r="B36" s="7" t="inlineStr">
        <is>
          <t>Production</t>
        </is>
      </c>
      <c r="C36" s="7" t="inlineStr">
        <is>
          <t>15 timber</t>
        </is>
      </c>
      <c r="D36" s="27" t="n">
        <v>5</v>
      </c>
      <c r="E36" s="27" t="n"/>
      <c r="F36" s="27" t="n"/>
      <c r="G36" s="27" t="n"/>
      <c r="H36" s="27" t="n"/>
      <c r="I36" s="27" t="n"/>
      <c r="J36" s="27" t="n"/>
      <c r="K36" s="27" t="n"/>
      <c r="L36" s="27" t="n"/>
      <c r="M36" s="27" t="n"/>
      <c r="N36" s="27" t="n"/>
      <c r="O36" s="27" t="n"/>
      <c r="P36" s="28">
        <f>COUNT(D36:N36)</f>
        <v/>
      </c>
      <c r="Q36" s="28">
        <f>SUM(D36:N36)</f>
        <v/>
      </c>
      <c r="R36" s="28">
        <f>IF(P36&lt;=4,"OK","Too many")</f>
        <v/>
      </c>
      <c r="S36" s="7" t="n"/>
      <c r="T36" s="45" t="n"/>
    </row>
    <row r="37" ht="15" customHeight="1" s="46">
      <c r="A37" s="24" t="inlineStr">
        <is>
          <t>Production: crafts &amp; metal</t>
        </is>
      </c>
      <c r="B37" s="24" t="n"/>
      <c r="C37" s="24" t="n"/>
      <c r="D37" s="24" t="n"/>
      <c r="E37" s="24" t="n"/>
      <c r="F37" s="24" t="n"/>
      <c r="G37" s="24" t="n"/>
      <c r="H37" s="24" t="n"/>
      <c r="I37" s="24" t="n"/>
      <c r="J37" s="24" t="n"/>
      <c r="K37" s="24" t="n"/>
      <c r="L37" s="24" t="n"/>
      <c r="M37" s="24" t="n"/>
      <c r="N37" s="24" t="n"/>
      <c r="O37" s="24" t="n"/>
      <c r="P37" s="24" t="n"/>
      <c r="Q37" s="24" t="n"/>
      <c r="R37" s="24" t="n"/>
      <c r="S37" s="24" t="n"/>
      <c r="T37" s="24" t="n"/>
    </row>
    <row r="38" ht="15" customHeight="1" s="46">
      <c r="A38" s="7" t="inlineStr">
        <is>
          <t>Apothecary</t>
        </is>
      </c>
      <c r="B38" s="7" t="inlineStr">
        <is>
          <t>Production</t>
        </is>
      </c>
      <c r="C38" s="7" t="inlineStr">
        <is>
          <t>15 timber, 10 planks</t>
        </is>
      </c>
      <c r="D38" s="27" t="n"/>
      <c r="E38" s="27" t="n">
        <v>8</v>
      </c>
      <c r="F38" s="27" t="n"/>
      <c r="G38" s="27" t="n"/>
      <c r="H38" s="27" t="n">
        <v>4</v>
      </c>
      <c r="I38" s="27" t="n">
        <v>8</v>
      </c>
      <c r="J38" s="27" t="n"/>
      <c r="K38" s="27" t="n"/>
      <c r="L38" s="27" t="n"/>
      <c r="M38" s="27" t="n"/>
      <c r="N38" s="27" t="n"/>
      <c r="O38" s="27" t="n">
        <v>10</v>
      </c>
      <c r="P38" s="28">
        <f>COUNT(D38:N38)</f>
        <v/>
      </c>
      <c r="Q38" s="28">
        <f>SUM(D38:N38)</f>
        <v/>
      </c>
      <c r="R38" s="28">
        <f>IF(P38&lt;=4,"OK","Too many")</f>
        <v/>
      </c>
      <c r="S38" s="7" t="n"/>
      <c r="T38" s="45" t="n"/>
    </row>
    <row r="39" ht="15" customHeight="1" s="46">
      <c r="A39" s="7" t="inlineStr">
        <is>
          <t>Weaver</t>
        </is>
      </c>
      <c r="B39" s="7" t="inlineStr">
        <is>
          <t>Production</t>
        </is>
      </c>
      <c r="C39" s="7" t="inlineStr">
        <is>
          <t>20 timber, 5 planks</t>
        </is>
      </c>
      <c r="D39" s="27" t="n">
        <v>4</v>
      </c>
      <c r="E39" s="27" t="n">
        <v>8</v>
      </c>
      <c r="F39" s="27" t="n"/>
      <c r="G39" s="27" t="n"/>
      <c r="H39" s="27" t="n"/>
      <c r="I39" s="27" t="n"/>
      <c r="J39" s="27" t="n"/>
      <c r="K39" s="27" t="n"/>
      <c r="L39" s="27" t="n"/>
      <c r="M39" s="27" t="n"/>
      <c r="N39" s="27" t="n"/>
      <c r="O39" s="27" t="n"/>
      <c r="P39" s="28">
        <f>COUNT(D39:N39)</f>
        <v/>
      </c>
      <c r="Q39" s="28">
        <f>SUM(D39:N39)</f>
        <v/>
      </c>
      <c r="R39" s="28">
        <f>IF(P39&lt;=4,"OK","Too many")</f>
        <v/>
      </c>
      <c r="S39" s="7" t="n"/>
      <c r="T39" s="45" t="n"/>
    </row>
    <row r="40" ht="15" customHeight="1" s="46">
      <c r="A40" s="7" t="inlineStr">
        <is>
          <t>Tailor &amp; Cobbler</t>
        </is>
      </c>
      <c r="B40" s="7" t="inlineStr">
        <is>
          <t>Production</t>
        </is>
      </c>
      <c r="C40" s="7" t="inlineStr">
        <is>
          <t>15 timber, 10 planks</t>
        </is>
      </c>
      <c r="D40" s="27" t="n">
        <v>4</v>
      </c>
      <c r="E40" s="27" t="n">
        <v>6</v>
      </c>
      <c r="F40" s="27" t="n"/>
      <c r="G40" s="27" t="n">
        <v>2</v>
      </c>
      <c r="H40" s="27" t="n"/>
      <c r="I40" s="27" t="n"/>
      <c r="J40" s="27" t="n"/>
      <c r="K40" s="27" t="n"/>
      <c r="L40" s="27" t="n"/>
      <c r="M40" s="27" t="n"/>
      <c r="N40" s="27" t="n"/>
      <c r="O40" s="27" t="n"/>
      <c r="P40" s="28">
        <f>COUNT(D40:N40)</f>
        <v/>
      </c>
      <c r="Q40" s="28">
        <f>SUM(D40:N40)</f>
        <v/>
      </c>
      <c r="R40" s="28">
        <f>IF(P40&lt;=4,"OK","Too many")</f>
        <v/>
      </c>
      <c r="S40" s="7" t="n"/>
      <c r="T40" s="45" t="n"/>
    </row>
    <row r="41" ht="15" customHeight="1" s="46">
      <c r="A41" s="7" t="inlineStr">
        <is>
          <t>Tannery</t>
        </is>
      </c>
      <c r="B41" s="7" t="inlineStr">
        <is>
          <t>Production</t>
        </is>
      </c>
      <c r="C41" s="7" t="inlineStr">
        <is>
          <t>25 timber</t>
        </is>
      </c>
      <c r="D41" s="27" t="n">
        <v>4</v>
      </c>
      <c r="E41" s="27" t="n">
        <v>4</v>
      </c>
      <c r="F41" s="27" t="n"/>
      <c r="G41" s="27" t="n"/>
      <c r="H41" s="27" t="n"/>
      <c r="I41" s="27" t="n"/>
      <c r="J41" s="27" t="n"/>
      <c r="K41" s="27" t="n"/>
      <c r="L41" s="27" t="n"/>
      <c r="M41" s="27" t="n"/>
      <c r="N41" s="27" t="n"/>
      <c r="O41" s="27" t="n"/>
      <c r="P41" s="28">
        <f>COUNT(D41:N41)</f>
        <v/>
      </c>
      <c r="Q41" s="28">
        <f>SUM(D41:N41)</f>
        <v/>
      </c>
      <c r="R41" s="28">
        <f>IF(P41&lt;=4,"OK","Too many")</f>
        <v/>
      </c>
      <c r="S41" s="7" t="n"/>
      <c r="T41" s="45" t="n"/>
    </row>
    <row r="42" ht="15" customHeight="1" s="46">
      <c r="A42" s="7" t="inlineStr">
        <is>
          <t>Dyer's Workshop</t>
        </is>
      </c>
      <c r="B42" s="7" t="inlineStr">
        <is>
          <t>Production</t>
        </is>
      </c>
      <c r="C42" s="7" t="inlineStr">
        <is>
          <t>15 timber, 10 planks</t>
        </is>
      </c>
      <c r="D42" s="27" t="n">
        <v>4</v>
      </c>
      <c r="E42" s="27" t="n">
        <v>8</v>
      </c>
      <c r="F42" s="27" t="n"/>
      <c r="G42" s="27" t="n">
        <v>4</v>
      </c>
      <c r="H42" s="27" t="n"/>
      <c r="I42" s="27" t="n"/>
      <c r="J42" s="27" t="n"/>
      <c r="K42" s="27" t="n"/>
      <c r="L42" s="27" t="n"/>
      <c r="M42" s="27" t="n"/>
      <c r="N42" s="27" t="n"/>
      <c r="O42" s="27" t="n"/>
      <c r="P42" s="28">
        <f>COUNT(D42:N42)</f>
        <v/>
      </c>
      <c r="Q42" s="28">
        <f>SUM(D42:N42)</f>
        <v/>
      </c>
      <c r="R42" s="28">
        <f>IF(P42&lt;=4,"OK","Too many")</f>
        <v/>
      </c>
      <c r="S42" s="7" t="n"/>
      <c r="T42" s="45" t="n"/>
    </row>
    <row r="43" ht="15" customHeight="1" s="46">
      <c r="A43" s="7" t="inlineStr">
        <is>
          <t>Bog Iron Pit</t>
        </is>
      </c>
      <c r="B43" s="7" t="inlineStr">
        <is>
          <t>Production</t>
        </is>
      </c>
      <c r="C43" s="7" t="inlineStr">
        <is>
          <t>30 timber, 10 planks</t>
        </is>
      </c>
      <c r="D43" s="27" t="n">
        <v>6</v>
      </c>
      <c r="E43" s="27" t="n">
        <v>4</v>
      </c>
      <c r="F43" s="27" t="n"/>
      <c r="G43" s="27" t="n"/>
      <c r="H43" s="27" t="n"/>
      <c r="I43" s="27" t="n"/>
      <c r="J43" s="27" t="n"/>
      <c r="K43" s="27" t="n"/>
      <c r="L43" s="27" t="n"/>
      <c r="M43" s="27" t="n"/>
      <c r="N43" s="27" t="n"/>
      <c r="O43" s="27" t="n"/>
      <c r="P43" s="28">
        <f>COUNT(D43:N43)</f>
        <v/>
      </c>
      <c r="Q43" s="28">
        <f>SUM(D43:N43)</f>
        <v/>
      </c>
      <c r="R43" s="28">
        <f>IF(P43&lt;=4,"OK","Too many")</f>
        <v/>
      </c>
      <c r="S43" s="7" t="n"/>
      <c r="T43" s="45" t="n"/>
    </row>
    <row r="44" ht="15" customHeight="1" s="46">
      <c r="A44" s="7" t="inlineStr">
        <is>
          <t>Charcoal Burner</t>
        </is>
      </c>
      <c r="B44" s="7" t="inlineStr">
        <is>
          <t>Production</t>
        </is>
      </c>
      <c r="C44" s="7" t="inlineStr">
        <is>
          <t>20 timber</t>
        </is>
      </c>
      <c r="D44" s="27" t="n">
        <v>4</v>
      </c>
      <c r="E44" s="27" t="n"/>
      <c r="F44" s="27" t="n"/>
      <c r="G44" s="27" t="n">
        <v>2</v>
      </c>
      <c r="H44" s="27" t="n"/>
      <c r="I44" s="27" t="n"/>
      <c r="J44" s="27" t="n"/>
      <c r="K44" s="27" t="n"/>
      <c r="L44" s="27" t="n"/>
      <c r="M44" s="27" t="n"/>
      <c r="N44" s="27" t="n"/>
      <c r="O44" s="27" t="n"/>
      <c r="P44" s="28">
        <f>COUNT(D44:N44)</f>
        <v/>
      </c>
      <c r="Q44" s="28">
        <f>SUM(D44:N44)</f>
        <v/>
      </c>
      <c r="R44" s="28">
        <f>IF(P44&lt;=4,"OK","Too many")</f>
        <v/>
      </c>
      <c r="S44" s="7" t="n"/>
      <c r="T44" s="45" t="n"/>
    </row>
    <row r="45" ht="15" customHeight="1" s="46">
      <c r="A45" s="7" t="inlineStr">
        <is>
          <t>Bloomery</t>
        </is>
      </c>
      <c r="B45" s="7" t="inlineStr">
        <is>
          <t>Production</t>
        </is>
      </c>
      <c r="C45" s="7" t="inlineStr">
        <is>
          <t>20 stone, 10 timber</t>
        </is>
      </c>
      <c r="D45" s="27" t="n">
        <v>2</v>
      </c>
      <c r="E45" s="27" t="n">
        <v>6</v>
      </c>
      <c r="F45" s="27" t="n"/>
      <c r="G45" s="27" t="n">
        <v>6</v>
      </c>
      <c r="H45" s="27" t="n"/>
      <c r="I45" s="27" t="n"/>
      <c r="J45" s="27" t="n"/>
      <c r="K45" s="27" t="n"/>
      <c r="L45" s="27" t="n"/>
      <c r="M45" s="27" t="n"/>
      <c r="N45" s="27" t="n"/>
      <c r="O45" s="27" t="n"/>
      <c r="P45" s="28">
        <f>COUNT(D45:N45)</f>
        <v/>
      </c>
      <c r="Q45" s="28">
        <f>SUM(D45:N45)</f>
        <v/>
      </c>
      <c r="R45" s="28">
        <f>IF(P45&lt;=4,"OK","Too many")</f>
        <v/>
      </c>
      <c r="S45" s="7" t="n"/>
      <c r="T45" s="45" t="n"/>
    </row>
    <row r="46" ht="15" customHeight="1" s="46">
      <c r="A46" s="7" t="inlineStr">
        <is>
          <t>Blacksmith</t>
        </is>
      </c>
      <c r="B46" s="7" t="inlineStr">
        <is>
          <t>Production</t>
        </is>
      </c>
      <c r="C46" s="7" t="inlineStr">
        <is>
          <t>20 stone, 15 planks</t>
        </is>
      </c>
      <c r="D46" s="27" t="n"/>
      <c r="E46" s="27" t="n">
        <v>8</v>
      </c>
      <c r="F46" s="27" t="n"/>
      <c r="G46" s="27" t="n">
        <v>4</v>
      </c>
      <c r="H46" s="27" t="n"/>
      <c r="I46" s="27" t="n"/>
      <c r="J46" s="27" t="n"/>
      <c r="K46" s="27" t="n"/>
      <c r="L46" s="27" t="n"/>
      <c r="M46" s="27" t="n"/>
      <c r="N46" s="27" t="n"/>
      <c r="O46" s="27" t="n"/>
      <c r="P46" s="28">
        <f>COUNT(D46:N46)</f>
        <v/>
      </c>
      <c r="Q46" s="28">
        <f>SUM(D46:N46)</f>
        <v/>
      </c>
      <c r="R46" s="28">
        <f>IF(P46&lt;=4,"OK","Too many")</f>
        <v/>
      </c>
      <c r="S46" s="7" t="n"/>
      <c r="T46" s="45" t="n"/>
    </row>
    <row r="47" ht="15" customHeight="1" s="46">
      <c r="A47" s="7" t="inlineStr">
        <is>
          <t>Glassworks</t>
        </is>
      </c>
      <c r="B47" s="7" t="inlineStr">
        <is>
          <t>Production</t>
        </is>
      </c>
      <c r="C47" s="7" t="inlineStr">
        <is>
          <t>25 stone, 10 planks, 40 coins</t>
        </is>
      </c>
      <c r="D47" s="27" t="n"/>
      <c r="E47" s="27" t="n">
        <v>8</v>
      </c>
      <c r="F47" s="27" t="n"/>
      <c r="G47" s="27" t="n">
        <v>8</v>
      </c>
      <c r="H47" s="27" t="n"/>
      <c r="I47" s="27" t="n"/>
      <c r="J47" s="27" t="n"/>
      <c r="K47" s="27" t="n"/>
      <c r="L47" s="27" t="n"/>
      <c r="M47" s="27" t="n">
        <v>2</v>
      </c>
      <c r="N47" s="27" t="n"/>
      <c r="O47" s="27" t="n">
        <v>10</v>
      </c>
      <c r="P47" s="28">
        <f>COUNT(D47:N47)</f>
        <v/>
      </c>
      <c r="Q47" s="28">
        <f>SUM(D47:N47)</f>
        <v/>
      </c>
      <c r="R47" s="28">
        <f>IF(P47&lt;=4,"OK","Too many")</f>
        <v/>
      </c>
      <c r="S47" s="7" t="n"/>
      <c r="T47" s="45" t="n"/>
    </row>
    <row r="48" ht="15" customHeight="1" s="46">
      <c r="A48" s="7" t="inlineStr">
        <is>
          <t>Paper Mill</t>
        </is>
      </c>
      <c r="B48" s="7" t="inlineStr">
        <is>
          <t>Production</t>
        </is>
      </c>
      <c r="C48" s="7" t="inlineStr">
        <is>
          <t>free</t>
        </is>
      </c>
      <c r="D48" s="27" t="n"/>
      <c r="E48" s="27" t="n">
        <v>8</v>
      </c>
      <c r="F48" s="27" t="n">
        <v>4</v>
      </c>
      <c r="G48" s="27" t="n">
        <v>4</v>
      </c>
      <c r="H48" s="27" t="n"/>
      <c r="I48" s="27" t="n"/>
      <c r="J48" s="27" t="n"/>
      <c r="K48" s="27" t="n"/>
      <c r="L48" s="27" t="n"/>
      <c r="M48" s="27" t="n"/>
      <c r="N48" s="27" t="n"/>
      <c r="O48" s="27" t="n"/>
      <c r="P48" s="28">
        <f>COUNT(D48:N48)</f>
        <v/>
      </c>
      <c r="Q48" s="28">
        <f>SUM(D48:N48)</f>
        <v/>
      </c>
      <c r="R48" s="28">
        <f>IF(P48&lt;=4,"OK","Too many")</f>
        <v/>
      </c>
      <c r="S48" s="7" t="inlineStr">
        <is>
          <t>New: a wheel on the water.</t>
        </is>
      </c>
      <c r="T48" s="45" t="n"/>
    </row>
    <row r="49" ht="15" customHeight="1" s="46">
      <c r="A49" s="7" t="inlineStr">
        <is>
          <t>Winery (charter)</t>
        </is>
      </c>
      <c r="B49" s="7" t="inlineStr">
        <is>
          <t>Production</t>
        </is>
      </c>
      <c r="C49" s="7" t="inlineStr">
        <is>
          <t>20 stone, 15 planks, 4 wood parts</t>
        </is>
      </c>
      <c r="D49" s="27" t="n"/>
      <c r="E49" s="27" t="n">
        <v>10</v>
      </c>
      <c r="F49" s="27" t="n">
        <v>3</v>
      </c>
      <c r="G49" s="27" t="n">
        <v>5</v>
      </c>
      <c r="H49" s="27" t="n"/>
      <c r="I49" s="27" t="n"/>
      <c r="J49" s="27" t="n"/>
      <c r="K49" s="27" t="n"/>
      <c r="L49" s="27" t="n"/>
      <c r="M49" s="27" t="n"/>
      <c r="N49" s="27" t="n"/>
      <c r="O49" s="27" t="n"/>
      <c r="P49" s="28">
        <f>COUNT(D49:N49)</f>
        <v/>
      </c>
      <c r="Q49" s="28">
        <f>SUM(D49:N49)</f>
        <v/>
      </c>
      <c r="R49" s="28">
        <f>IF(P49&lt;=4,"OK","Too many")</f>
        <v/>
      </c>
      <c r="S49" s="7" t="n"/>
      <c r="T49" s="45" t="n"/>
    </row>
    <row r="50" ht="23.25" customHeight="1" s="46">
      <c r="A50" s="7" t="inlineStr">
        <is>
          <t>Jeweller's Shop (charter)</t>
        </is>
      </c>
      <c r="B50" s="7" t="inlineStr">
        <is>
          <t>Production</t>
        </is>
      </c>
      <c r="C50" s="7" t="inlineStr">
        <is>
          <t>15 dressed stone, 10 planks, 80 coins</t>
        </is>
      </c>
      <c r="D50" s="27" t="n"/>
      <c r="E50" s="27" t="n"/>
      <c r="F50" s="27" t="n"/>
      <c r="G50" s="27" t="n"/>
      <c r="H50" s="27" t="n">
        <v>8</v>
      </c>
      <c r="I50" s="27" t="n"/>
      <c r="J50" s="27" t="n">
        <v>6</v>
      </c>
      <c r="K50" s="27" t="n">
        <v>4</v>
      </c>
      <c r="L50" s="27" t="n"/>
      <c r="M50" s="27" t="n"/>
      <c r="N50" s="27" t="n"/>
      <c r="O50" s="27" t="n">
        <v>20</v>
      </c>
      <c r="P50" s="28">
        <f>COUNT(D50:N50)</f>
        <v/>
      </c>
      <c r="Q50" s="28">
        <f>SUM(D50:N50)</f>
        <v/>
      </c>
      <c r="R50" s="28">
        <f>IF(P50&lt;=4,"OK","Too many")</f>
        <v/>
      </c>
      <c r="S50" s="7" t="n"/>
      <c r="T50" s="45" t="n"/>
    </row>
    <row r="51" ht="23.25" customHeight="1" s="46">
      <c r="A51" s="7" t="inlineStr">
        <is>
          <t>Scriptorium (charter)</t>
        </is>
      </c>
      <c r="B51" s="7" t="inlineStr">
        <is>
          <t>Production</t>
        </is>
      </c>
      <c r="C51" s="7" t="inlineStr">
        <is>
          <t>15 dressed stone, 15 planks, 30 coins</t>
        </is>
      </c>
      <c r="D51" s="27" t="n"/>
      <c r="E51" s="27" t="n">
        <v>8</v>
      </c>
      <c r="F51" s="27" t="n"/>
      <c r="G51" s="27" t="n"/>
      <c r="H51" s="27" t="n">
        <v>6</v>
      </c>
      <c r="I51" s="27" t="n"/>
      <c r="J51" s="27" t="n">
        <v>4</v>
      </c>
      <c r="K51" s="27" t="n">
        <v>4</v>
      </c>
      <c r="L51" s="27" t="n"/>
      <c r="M51" s="27" t="n"/>
      <c r="N51" s="27" t="n"/>
      <c r="O51" s="27" t="n">
        <v>15</v>
      </c>
      <c r="P51" s="28">
        <f>COUNT(D51:N51)</f>
        <v/>
      </c>
      <c r="Q51" s="28">
        <f>SUM(D51:N51)</f>
        <v/>
      </c>
      <c r="R51" s="28">
        <f>IF(P51&lt;=4,"OK","Too many")</f>
        <v/>
      </c>
      <c r="S51" s="7" t="n"/>
      <c r="T51" s="45" t="n"/>
    </row>
    <row r="52" ht="15" customHeight="1" s="46">
      <c r="A52" s="24" t="inlineStr">
        <is>
          <t>Civic</t>
        </is>
      </c>
      <c r="B52" s="24" t="n"/>
      <c r="C52" s="24" t="n"/>
      <c r="D52" s="24" t="n"/>
      <c r="E52" s="24" t="n"/>
      <c r="F52" s="24" t="n"/>
      <c r="G52" s="24" t="n"/>
      <c r="H52" s="24" t="n"/>
      <c r="I52" s="24" t="n"/>
      <c r="J52" s="24" t="n"/>
      <c r="K52" s="24" t="n"/>
      <c r="L52" s="24" t="n"/>
      <c r="M52" s="24" t="n"/>
      <c r="N52" s="24" t="n"/>
      <c r="O52" s="24" t="n"/>
      <c r="P52" s="24" t="n"/>
      <c r="Q52" s="24" t="n"/>
      <c r="R52" s="24" t="n"/>
      <c r="S52" s="24" t="n"/>
      <c r="T52" s="24" t="n"/>
    </row>
    <row r="53" ht="15" customHeight="1" s="46">
      <c r="A53" s="7" t="inlineStr">
        <is>
          <t>Storehouse</t>
        </is>
      </c>
      <c r="B53" s="7" t="inlineStr">
        <is>
          <t>Civic</t>
        </is>
      </c>
      <c r="C53" s="7" t="inlineStr">
        <is>
          <t>30 timber</t>
        </is>
      </c>
      <c r="D53" s="27" t="n">
        <v>8</v>
      </c>
      <c r="E53" s="27" t="n"/>
      <c r="F53" s="27" t="n"/>
      <c r="G53" s="27" t="n"/>
      <c r="H53" s="27" t="n"/>
      <c r="I53" s="27" t="n"/>
      <c r="J53" s="27" t="n"/>
      <c r="K53" s="27" t="n"/>
      <c r="L53" s="27" t="n"/>
      <c r="M53" s="27" t="n"/>
      <c r="N53" s="27" t="n"/>
      <c r="O53" s="27" t="n"/>
      <c r="P53" s="28">
        <f>COUNT(D53:N53)</f>
        <v/>
      </c>
      <c r="Q53" s="28">
        <f>SUM(D53:N53)</f>
        <v/>
      </c>
      <c r="R53" s="28">
        <f>IF(P53&lt;=4,"OK","Too many")</f>
        <v/>
      </c>
      <c r="S53" s="7" t="n"/>
      <c r="T53" s="45" t="n"/>
    </row>
    <row r="54" ht="15" customHeight="1" s="46">
      <c r="A54" s="7" t="inlineStr">
        <is>
          <t>Granary</t>
        </is>
      </c>
      <c r="B54" s="7" t="inlineStr">
        <is>
          <t>Civic</t>
        </is>
      </c>
      <c r="C54" s="7" t="inlineStr">
        <is>
          <t>30 timber</t>
        </is>
      </c>
      <c r="D54" s="27" t="n">
        <v>4</v>
      </c>
      <c r="E54" s="27" t="n"/>
      <c r="F54" s="27" t="n"/>
      <c r="G54" s="27" t="n">
        <v>6</v>
      </c>
      <c r="H54" s="27" t="n"/>
      <c r="I54" s="27" t="n"/>
      <c r="J54" s="27" t="n"/>
      <c r="K54" s="27" t="n"/>
      <c r="L54" s="27" t="n"/>
      <c r="M54" s="27" t="n"/>
      <c r="N54" s="27" t="n"/>
      <c r="O54" s="27" t="n"/>
      <c r="P54" s="28">
        <f>COUNT(D54:N54)</f>
        <v/>
      </c>
      <c r="Q54" s="28">
        <f>SUM(D54:N54)</f>
        <v/>
      </c>
      <c r="R54" s="28">
        <f>IF(P54&lt;=4,"OK","Too many")</f>
        <v/>
      </c>
      <c r="S54" s="7" t="n"/>
      <c r="T54" s="45" t="n"/>
    </row>
    <row r="55" ht="15" customHeight="1" s="46">
      <c r="A55" s="7" t="inlineStr">
        <is>
          <t>Silo</t>
        </is>
      </c>
      <c r="B55" s="7" t="inlineStr">
        <is>
          <t>Civic</t>
        </is>
      </c>
      <c r="C55" s="7" t="inlineStr">
        <is>
          <t>20 timber, 15 stone</t>
        </is>
      </c>
      <c r="D55" s="27" t="n">
        <v>6</v>
      </c>
      <c r="E55" s="27" t="n"/>
      <c r="F55" s="27" t="n"/>
      <c r="G55" s="27" t="n">
        <v>4</v>
      </c>
      <c r="H55" s="27" t="n"/>
      <c r="I55" s="27" t="n"/>
      <c r="J55" s="27" t="n"/>
      <c r="K55" s="27" t="n"/>
      <c r="L55" s="27" t="n"/>
      <c r="M55" s="27" t="n"/>
      <c r="N55" s="27" t="n"/>
      <c r="O55" s="27" t="n"/>
      <c r="P55" s="28">
        <f>COUNT(D55:N55)</f>
        <v/>
      </c>
      <c r="Q55" s="28">
        <f>SUM(D55:N55)</f>
        <v/>
      </c>
      <c r="R55" s="28">
        <f>IF(P55&lt;=4,"OK","Too many")</f>
        <v/>
      </c>
      <c r="S55" s="7" t="n"/>
      <c r="T55" s="45" t="n"/>
    </row>
    <row r="56" ht="15" customHeight="1" s="46">
      <c r="A56" s="7" t="inlineStr">
        <is>
          <t>Draught Stable</t>
        </is>
      </c>
      <c r="B56" s="7" t="inlineStr">
        <is>
          <t>Civic</t>
        </is>
      </c>
      <c r="C56" s="7" t="inlineStr">
        <is>
          <t>30 timber, 15 planks</t>
        </is>
      </c>
      <c r="D56" s="27" t="n">
        <v>6</v>
      </c>
      <c r="E56" s="27" t="n">
        <v>4</v>
      </c>
      <c r="F56" s="27" t="n"/>
      <c r="G56" s="27" t="n"/>
      <c r="H56" s="27" t="n"/>
      <c r="I56" s="27" t="n"/>
      <c r="J56" s="27" t="n"/>
      <c r="K56" s="27" t="n"/>
      <c r="L56" s="27" t="n"/>
      <c r="M56" s="27" t="n"/>
      <c r="N56" s="27" t="n"/>
      <c r="O56" s="27" t="n"/>
      <c r="P56" s="28">
        <f>COUNT(D56:N56)</f>
        <v/>
      </c>
      <c r="Q56" s="28">
        <f>SUM(D56:N56)</f>
        <v/>
      </c>
      <c r="R56" s="28">
        <f>IF(P56&lt;=4,"OK","Too many")</f>
        <v/>
      </c>
      <c r="S56" s="7" t="n"/>
      <c r="T56" s="45" t="n"/>
    </row>
    <row r="57" ht="15" customHeight="1" s="46">
      <c r="A57" s="7" t="inlineStr">
        <is>
          <t>Builder's Yard</t>
        </is>
      </c>
      <c r="B57" s="7" t="inlineStr">
        <is>
          <t>Civic</t>
        </is>
      </c>
      <c r="C57" s="7" t="inlineStr">
        <is>
          <t>30 timber, 15 planks, 10 stone</t>
        </is>
      </c>
      <c r="D57" s="27" t="n">
        <v>8</v>
      </c>
      <c r="E57" s="27" t="n">
        <v>4</v>
      </c>
      <c r="F57" s="27" t="n"/>
      <c r="G57" s="27" t="n">
        <v>4</v>
      </c>
      <c r="H57" s="27" t="n"/>
      <c r="I57" s="27" t="n"/>
      <c r="J57" s="27" t="n"/>
      <c r="K57" s="27" t="n"/>
      <c r="L57" s="27" t="n"/>
      <c r="M57" s="27" t="n"/>
      <c r="N57" s="27" t="n"/>
      <c r="O57" s="27" t="n"/>
      <c r="P57" s="28">
        <f>COUNT(D57:N57)</f>
        <v/>
      </c>
      <c r="Q57" s="28">
        <f>SUM(D57:N57)</f>
        <v/>
      </c>
      <c r="R57" s="28">
        <f>IF(P57&lt;=4,"OK","Too many")</f>
        <v/>
      </c>
      <c r="S57" s="7" t="n"/>
      <c r="T57" s="45" t="n"/>
    </row>
    <row r="58" ht="15" customHeight="1" s="46">
      <c r="A58" s="7" t="inlineStr">
        <is>
          <t>Well</t>
        </is>
      </c>
      <c r="B58" s="7" t="inlineStr">
        <is>
          <t>Civic</t>
        </is>
      </c>
      <c r="C58" s="7" t="inlineStr">
        <is>
          <t>12 timber</t>
        </is>
      </c>
      <c r="D58" s="27" t="n"/>
      <c r="E58" s="27" t="n"/>
      <c r="F58" s="27" t="n"/>
      <c r="G58" s="27" t="n">
        <v>6</v>
      </c>
      <c r="H58" s="27" t="n"/>
      <c r="I58" s="27" t="n"/>
      <c r="J58" s="27" t="n"/>
      <c r="K58" s="27" t="n"/>
      <c r="L58" s="27" t="n"/>
      <c r="M58" s="27" t="n"/>
      <c r="N58" s="27" t="n"/>
      <c r="O58" s="27" t="n"/>
      <c r="P58" s="28">
        <f>COUNT(D58:N58)</f>
        <v/>
      </c>
      <c r="Q58" s="28">
        <f>SUM(D58:N58)</f>
        <v/>
      </c>
      <c r="R58" s="28">
        <f>IF(P58&lt;=4,"OK","Too many")</f>
        <v/>
      </c>
      <c r="S58" s="7" t="inlineStr">
        <is>
          <t>Stone instead of timber (your edit).</t>
        </is>
      </c>
      <c r="T58" s="45" t="n"/>
    </row>
    <row r="59" ht="15" customHeight="1" s="46">
      <c r="A59" s="7" t="inlineStr">
        <is>
          <t>Market</t>
        </is>
      </c>
      <c r="B59" s="7" t="inlineStr">
        <is>
          <t>Civic</t>
        </is>
      </c>
      <c r="C59" s="7" t="inlineStr">
        <is>
          <t>free</t>
        </is>
      </c>
      <c r="D59" s="27" t="n"/>
      <c r="E59" s="27" t="n"/>
      <c r="F59" s="27" t="n"/>
      <c r="G59" s="27" t="n"/>
      <c r="H59" s="27" t="n"/>
      <c r="I59" s="27" t="n"/>
      <c r="J59" s="27" t="n"/>
      <c r="K59" s="27" t="n"/>
      <c r="L59" s="27" t="n"/>
      <c r="M59" s="27" t="n"/>
      <c r="N59" s="27" t="n"/>
      <c r="O59" s="27" t="n"/>
      <c r="P59" s="28">
        <f>COUNT(D59:N59)</f>
        <v/>
      </c>
      <c r="Q59" s="28">
        <f>SUM(D59:N59)</f>
        <v/>
      </c>
      <c r="R59" s="28">
        <f>IF(P59&lt;=4,"OK","Too many")</f>
        <v/>
      </c>
      <c r="S59" s="7" t="inlineStr">
        <is>
          <t>Free to lay out.</t>
        </is>
      </c>
      <c r="T59" s="45" t="n"/>
    </row>
    <row r="60" ht="15" customHeight="1" s="46">
      <c r="A60" s="7" t="inlineStr">
        <is>
          <t>Alehouse</t>
        </is>
      </c>
      <c r="B60" s="7" t="inlineStr">
        <is>
          <t>Civic</t>
        </is>
      </c>
      <c r="C60" s="7" t="inlineStr">
        <is>
          <t>15 timber, 4 planks</t>
        </is>
      </c>
      <c r="D60" s="27" t="n">
        <v>4</v>
      </c>
      <c r="E60" s="27" t="n">
        <v>6</v>
      </c>
      <c r="F60" s="27" t="n"/>
      <c r="G60" s="27" t="n">
        <v>6</v>
      </c>
      <c r="H60" s="27" t="n"/>
      <c r="I60" s="27" t="n"/>
      <c r="J60" s="27" t="n"/>
      <c r="K60" s="27" t="n"/>
      <c r="L60" s="27" t="n"/>
      <c r="M60" s="27" t="n"/>
      <c r="N60" s="27" t="n"/>
      <c r="O60" s="27" t="n"/>
      <c r="P60" s="28">
        <f>COUNT(D60:N60)</f>
        <v/>
      </c>
      <c r="Q60" s="28">
        <f>SUM(D60:N60)</f>
        <v/>
      </c>
      <c r="R60" s="28">
        <f>IF(P60&lt;=4,"OK","Too many")</f>
        <v/>
      </c>
      <c r="S60" s="7" t="n"/>
      <c r="T60" s="45" t="n"/>
    </row>
    <row r="61" ht="15" customHeight="1" s="46">
      <c r="A61" s="7" t="inlineStr">
        <is>
          <t>Tavern (enlarge)</t>
        </is>
      </c>
      <c r="B61" s="7" t="inlineStr">
        <is>
          <t>Civic</t>
        </is>
      </c>
      <c r="C61" s="7" t="inlineStr">
        <is>
          <t>20 timber, 15 planks, 10 stone</t>
        </is>
      </c>
      <c r="D61" s="27" t="n">
        <v>5</v>
      </c>
      <c r="E61" s="27" t="n">
        <v>4</v>
      </c>
      <c r="F61" s="27" t="n"/>
      <c r="G61" s="27" t="n">
        <v>3</v>
      </c>
      <c r="H61" s="27" t="n"/>
      <c r="I61" s="27" t="n"/>
      <c r="J61" s="27" t="n"/>
      <c r="K61" s="27" t="n"/>
      <c r="L61" s="27" t="n"/>
      <c r="M61" s="27" t="n"/>
      <c r="N61" s="27" t="n"/>
      <c r="O61" s="27" t="n"/>
      <c r="P61" s="28">
        <f>COUNT(D61:N61)</f>
        <v/>
      </c>
      <c r="Q61" s="28">
        <f>SUM(D61:N61)</f>
        <v/>
      </c>
      <c r="R61" s="28">
        <f>IF(P61&lt;=4,"OK","Too many")</f>
        <v/>
      </c>
      <c r="S61" s="7" t="n"/>
      <c r="T61" s="45" t="n"/>
    </row>
    <row r="62" ht="15" customHeight="1" s="46">
      <c r="A62" s="7" t="inlineStr">
        <is>
          <t>Bathhouse</t>
        </is>
      </c>
      <c r="B62" s="7" t="inlineStr">
        <is>
          <t>Civic</t>
        </is>
      </c>
      <c r="C62" s="7" t="inlineStr">
        <is>
          <t>free</t>
        </is>
      </c>
      <c r="D62" s="27" t="n"/>
      <c r="E62" s="27" t="n">
        <v>4</v>
      </c>
      <c r="F62" s="27" t="n"/>
      <c r="G62" s="27" t="n">
        <v>6</v>
      </c>
      <c r="H62" s="27" t="n"/>
      <c r="I62" s="27" t="n">
        <v>4</v>
      </c>
      <c r="J62" s="27" t="n"/>
      <c r="K62" s="27" t="n">
        <v>2</v>
      </c>
      <c r="L62" s="27" t="n"/>
      <c r="M62" s="27" t="n"/>
      <c r="N62" s="27" t="n"/>
      <c r="O62" s="27" t="n"/>
      <c r="P62" s="28">
        <f>COUNT(D62:N62)</f>
        <v/>
      </c>
      <c r="Q62" s="28">
        <f>SUM(D62:N62)</f>
        <v/>
      </c>
      <c r="R62" s="28">
        <f>IF(P62&lt;=4,"OK","Too many")</f>
        <v/>
      </c>
      <c r="S62" s="7" t="inlineStr">
        <is>
          <t>New.</t>
        </is>
      </c>
      <c r="T62" s="45" t="n"/>
    </row>
    <row r="63" ht="15" customHeight="1" s="46">
      <c r="A63" s="7" t="inlineStr">
        <is>
          <t>Trading Post</t>
        </is>
      </c>
      <c r="B63" s="7" t="inlineStr">
        <is>
          <t>Civic</t>
        </is>
      </c>
      <c r="C63" s="7" t="inlineStr">
        <is>
          <t>30 timber, 10 planks</t>
        </is>
      </c>
      <c r="D63" s="27" t="n">
        <v>8</v>
      </c>
      <c r="E63" s="27" t="n"/>
      <c r="F63" s="27" t="n"/>
      <c r="G63" s="27" t="n"/>
      <c r="H63" s="27" t="n"/>
      <c r="I63" s="27" t="n"/>
      <c r="J63" s="27" t="n"/>
      <c r="K63" s="27" t="n"/>
      <c r="L63" s="27" t="n"/>
      <c r="M63" s="27" t="n"/>
      <c r="N63" s="27" t="n"/>
      <c r="O63" s="27" t="n"/>
      <c r="P63" s="28">
        <f>COUNT(D63:N63)</f>
        <v/>
      </c>
      <c r="Q63" s="28">
        <f>SUM(D63:N63)</f>
        <v/>
      </c>
      <c r="R63" s="28">
        <f>IF(P63&lt;=4,"OK","Too many")</f>
        <v/>
      </c>
      <c r="S63" s="7" t="inlineStr">
        <is>
          <t>No planks (your edit).</t>
        </is>
      </c>
      <c r="T63" s="45" t="n"/>
    </row>
    <row r="64" ht="15" customHeight="1" s="46">
      <c r="A64" s="7" t="inlineStr">
        <is>
          <t>Dock</t>
        </is>
      </c>
      <c r="B64" s="7" t="inlineStr">
        <is>
          <t>Civic</t>
        </is>
      </c>
      <c r="C64" s="7" t="inlineStr">
        <is>
          <t>30 planks, 20 timber, 10 stone</t>
        </is>
      </c>
      <c r="D64" s="27" t="n">
        <v>6</v>
      </c>
      <c r="E64" s="27" t="n">
        <v>10</v>
      </c>
      <c r="F64" s="27" t="n"/>
      <c r="G64" s="27" t="n">
        <v>4</v>
      </c>
      <c r="H64" s="27" t="n"/>
      <c r="I64" s="27" t="n"/>
      <c r="J64" s="27" t="n"/>
      <c r="K64" s="27" t="n"/>
      <c r="L64" s="27" t="n"/>
      <c r="M64" s="27" t="n"/>
      <c r="N64" s="27" t="n"/>
      <c r="O64" s="27" t="n"/>
      <c r="P64" s="28">
        <f>COUNT(D64:N64)</f>
        <v/>
      </c>
      <c r="Q64" s="28">
        <f>SUM(D64:N64)</f>
        <v/>
      </c>
      <c r="R64" s="28">
        <f>IF(P64&lt;=4,"OK","Too many")</f>
        <v/>
      </c>
      <c r="S64" s="7" t="n"/>
      <c r="T64" s="45" t="n"/>
    </row>
    <row r="65" ht="15" customHeight="1" s="46">
      <c r="A65" s="7" t="inlineStr">
        <is>
          <t>Wooden Church</t>
        </is>
      </c>
      <c r="B65" s="7" t="inlineStr">
        <is>
          <t>Civic</t>
        </is>
      </c>
      <c r="C65" s="7" t="inlineStr">
        <is>
          <t>40 timber, 20 planks, 40 coins</t>
        </is>
      </c>
      <c r="D65" s="27" t="n">
        <v>10</v>
      </c>
      <c r="E65" s="27" t="n">
        <v>5</v>
      </c>
      <c r="F65" s="27" t="n"/>
      <c r="G65" s="27" t="n"/>
      <c r="H65" s="27" t="n"/>
      <c r="I65" s="27" t="n"/>
      <c r="J65" s="27" t="n"/>
      <c r="K65" s="27" t="n"/>
      <c r="L65" s="27" t="n"/>
      <c r="M65" s="27" t="n"/>
      <c r="N65" s="27" t="n"/>
      <c r="O65" s="27" t="n"/>
      <c r="P65" s="28">
        <f>COUNT(D65:N65)</f>
        <v/>
      </c>
      <c r="Q65" s="28">
        <f>SUM(D65:N65)</f>
        <v/>
      </c>
      <c r="R65" s="28">
        <f>IF(P65&lt;=4,"OK","Too many")</f>
        <v/>
      </c>
      <c r="S65" s="7" t="n"/>
      <c r="T65" s="45" t="n"/>
    </row>
    <row r="66" ht="15" customHeight="1" s="46">
      <c r="A66" s="7" t="inlineStr">
        <is>
          <t>Stone Church (rebuild)</t>
        </is>
      </c>
      <c r="B66" s="7" t="inlineStr">
        <is>
          <t>Civic</t>
        </is>
      </c>
      <c r="C66" s="7" t="inlineStr">
        <is>
          <t>30 stone, 15 tiles, 5 tools, 80 coins</t>
        </is>
      </c>
      <c r="D66" s="27" t="n"/>
      <c r="E66" s="27" t="n"/>
      <c r="F66" s="27" t="n"/>
      <c r="G66" s="27" t="n">
        <v>8</v>
      </c>
      <c r="H66" s="27" t="n"/>
      <c r="I66" s="27" t="n">
        <v>4</v>
      </c>
      <c r="J66" s="27" t="n"/>
      <c r="K66" s="27" t="n"/>
      <c r="L66" s="27" t="n"/>
      <c r="M66" s="27" t="n">
        <v>1</v>
      </c>
      <c r="N66" s="27" t="n"/>
      <c r="O66" s="27" t="n">
        <v>10</v>
      </c>
      <c r="P66" s="28">
        <f>COUNT(D66:N66)</f>
        <v/>
      </c>
      <c r="Q66" s="28">
        <f>SUM(D66:N66)</f>
        <v/>
      </c>
      <c r="R66" s="28">
        <f>IF(P66&lt;=4,"OK","Too many")</f>
        <v/>
      </c>
      <c r="S66" s="7" t="n"/>
      <c r="T66" s="45" t="n"/>
    </row>
    <row r="67" ht="23.25" customHeight="1" s="46">
      <c r="A67" s="7" t="inlineStr">
        <is>
          <t>Dressed Stone Church (rebuild)</t>
        </is>
      </c>
      <c r="B67" s="7" t="inlineStr">
        <is>
          <t>Civic</t>
        </is>
      </c>
      <c r="C67" s="7" t="inlineStr">
        <is>
          <t>30 dressed stone, 10 mortar, 4 glass, 5 tools, 80 coins</t>
        </is>
      </c>
      <c r="D67" s="27" t="n"/>
      <c r="E67" s="27" t="n"/>
      <c r="F67" s="27" t="n"/>
      <c r="G67" s="27" t="n"/>
      <c r="H67" s="27" t="n">
        <v>8</v>
      </c>
      <c r="I67" s="27" t="n"/>
      <c r="J67" s="27" t="n">
        <v>4</v>
      </c>
      <c r="K67" s="27" t="n">
        <v>3</v>
      </c>
      <c r="L67" s="27" t="n"/>
      <c r="M67" s="27" t="n">
        <v>1</v>
      </c>
      <c r="N67" s="27" t="n"/>
      <c r="O67" s="27" t="n">
        <v>20</v>
      </c>
      <c r="P67" s="28">
        <f>COUNT(D67:N67)</f>
        <v/>
      </c>
      <c r="Q67" s="28">
        <f>SUM(D67:N67)</f>
        <v/>
      </c>
      <c r="R67" s="28">
        <f>IF(P67&lt;=4,"OK","Too many")</f>
        <v/>
      </c>
      <c r="S67" s="7" t="n"/>
      <c r="T67" s="45" t="n"/>
    </row>
    <row r="68" ht="23.25" customHeight="1" s="46">
      <c r="A68" s="7" t="inlineStr">
        <is>
          <t>Monastery</t>
        </is>
      </c>
      <c r="B68" s="7" t="inlineStr">
        <is>
          <t>Civic</t>
        </is>
      </c>
      <c r="C68" s="7" t="inlineStr">
        <is>
          <t>40 stone, 30 planks, 20 tiles, 10 mortar, 120 coins</t>
        </is>
      </c>
      <c r="D68" s="27" t="n"/>
      <c r="E68" s="27" t="n">
        <v>8</v>
      </c>
      <c r="F68" s="27" t="n"/>
      <c r="G68" s="27" t="n">
        <v>10</v>
      </c>
      <c r="H68" s="27" t="n"/>
      <c r="I68" s="27" t="n">
        <v>10</v>
      </c>
      <c r="J68" s="27" t="n">
        <v>5</v>
      </c>
      <c r="K68" s="27" t="n"/>
      <c r="L68" s="27" t="n"/>
      <c r="M68" s="27" t="n"/>
      <c r="N68" s="27" t="n"/>
      <c r="O68" s="27" t="n">
        <v>30</v>
      </c>
      <c r="P68" s="28">
        <f>COUNT(D68:N68)</f>
        <v/>
      </c>
      <c r="Q68" s="28">
        <f>SUM(D68:N68)</f>
        <v/>
      </c>
      <c r="R68" s="28">
        <f>IF(P68&lt;=4,"OK","Too many")</f>
        <v/>
      </c>
      <c r="S68" s="7" t="n"/>
      <c r="T68" s="45" t="n"/>
    </row>
    <row r="69" ht="15" customHeight="1" s="46">
      <c r="A69" s="7" t="inlineStr">
        <is>
          <t>Public School</t>
        </is>
      </c>
      <c r="B69" s="7" t="inlineStr">
        <is>
          <t>Civic</t>
        </is>
      </c>
      <c r="C69" s="7" t="inlineStr">
        <is>
          <t>20 planks, 10 tiles, 10 stone</t>
        </is>
      </c>
      <c r="D69" s="27" t="n">
        <v>8</v>
      </c>
      <c r="E69" s="27" t="n">
        <v>10</v>
      </c>
      <c r="F69" s="27" t="n"/>
      <c r="G69" s="27" t="n">
        <v>4</v>
      </c>
      <c r="H69" s="27" t="n"/>
      <c r="I69" s="27" t="n">
        <v>6</v>
      </c>
      <c r="J69" s="27" t="n"/>
      <c r="K69" s="27" t="n"/>
      <c r="L69" s="27" t="n"/>
      <c r="M69" s="27" t="n"/>
      <c r="N69" s="27" t="n"/>
      <c r="O69" s="27" t="n"/>
      <c r="P69" s="28">
        <f>COUNT(D69:N69)</f>
        <v/>
      </c>
      <c r="Q69" s="28">
        <f>SUM(D69:N69)</f>
        <v/>
      </c>
      <c r="R69" s="28">
        <f>IF(P69&lt;=4,"OK","Too many")</f>
        <v/>
      </c>
      <c r="S69" s="7" t="n"/>
      <c r="T69" s="45" t="n"/>
    </row>
    <row r="70" ht="15" customHeight="1" s="46">
      <c r="A70" s="7" t="inlineStr">
        <is>
          <t>Tax Office</t>
        </is>
      </c>
      <c r="B70" s="7" t="inlineStr">
        <is>
          <t>Civic</t>
        </is>
      </c>
      <c r="C70" s="7" t="inlineStr">
        <is>
          <t>20 planks, 10 stone, 30 coins</t>
        </is>
      </c>
      <c r="D70" s="27" t="n"/>
      <c r="E70" s="27" t="n">
        <v>10</v>
      </c>
      <c r="F70" s="27" t="n"/>
      <c r="G70" s="27" t="n">
        <v>4</v>
      </c>
      <c r="H70" s="27" t="n"/>
      <c r="I70" s="27" t="n"/>
      <c r="J70" s="27" t="n"/>
      <c r="K70" s="27" t="n"/>
      <c r="L70" s="27" t="n"/>
      <c r="M70" s="27" t="n"/>
      <c r="N70" s="27" t="n"/>
      <c r="O70" s="27" t="n">
        <v>10</v>
      </c>
      <c r="P70" s="28">
        <f>COUNT(D70:N70)</f>
        <v/>
      </c>
      <c r="Q70" s="28">
        <f>SUM(D70:N70)</f>
        <v/>
      </c>
      <c r="R70" s="28">
        <f>IF(P70&lt;=4,"OK","Too many")</f>
        <v/>
      </c>
      <c r="S70" s="7" t="n"/>
      <c r="T70" s="45" t="n"/>
    </row>
    <row r="71" ht="15" customHeight="1" s="46">
      <c r="A71" s="7" t="inlineStr">
        <is>
          <t>Courthouse</t>
        </is>
      </c>
      <c r="B71" s="7" t="inlineStr">
        <is>
          <t>Civic</t>
        </is>
      </c>
      <c r="C71" s="7" t="inlineStr">
        <is>
          <t>free</t>
        </is>
      </c>
      <c r="D71" s="27" t="n"/>
      <c r="E71" s="27" t="n">
        <v>6</v>
      </c>
      <c r="F71" s="27" t="n"/>
      <c r="G71" s="27" t="n"/>
      <c r="H71" s="27" t="n">
        <v>8</v>
      </c>
      <c r="I71" s="27" t="n"/>
      <c r="J71" s="27" t="n">
        <v>4</v>
      </c>
      <c r="K71" s="27" t="n">
        <v>4</v>
      </c>
      <c r="L71" s="27" t="n"/>
      <c r="M71" s="27" t="n"/>
      <c r="N71" s="27" t="n"/>
      <c r="O71" s="27" t="n">
        <v>20</v>
      </c>
      <c r="P71" s="28">
        <f>COUNT(D71:N71)</f>
        <v/>
      </c>
      <c r="Q71" s="28">
        <f>SUM(D71:N71)</f>
        <v/>
      </c>
      <c r="R71" s="28">
        <f>IF(P71&lt;=4,"OK","Too many")</f>
        <v/>
      </c>
      <c r="S71" s="7" t="inlineStr">
        <is>
          <t>New; your TBD.</t>
        </is>
      </c>
      <c r="T71" s="45" t="n"/>
    </row>
    <row r="72" ht="15" customHeight="1" s="46">
      <c r="A72" s="24" t="inlineStr">
        <is>
          <t>Manor</t>
        </is>
      </c>
      <c r="B72" s="24" t="n"/>
      <c r="C72" s="24" t="n"/>
      <c r="D72" s="24" t="n"/>
      <c r="E72" s="24" t="n"/>
      <c r="F72" s="24" t="n"/>
      <c r="G72" s="24" t="n"/>
      <c r="H72" s="24" t="n"/>
      <c r="I72" s="24" t="n"/>
      <c r="J72" s="24" t="n"/>
      <c r="K72" s="24" t="n"/>
      <c r="L72" s="24" t="n"/>
      <c r="M72" s="24" t="n"/>
      <c r="N72" s="24" t="n"/>
      <c r="O72" s="24" t="n"/>
      <c r="P72" s="24" t="n"/>
      <c r="Q72" s="24" t="n"/>
      <c r="R72" s="24" t="n"/>
      <c r="S72" s="24" t="n"/>
      <c r="T72" s="24" t="n"/>
    </row>
    <row r="73" ht="23.25" customHeight="1" s="46">
      <c r="A73" s="7" t="inlineStr">
        <is>
          <t>Manor Hall</t>
        </is>
      </c>
      <c r="B73" s="7" t="inlineStr">
        <is>
          <t>Manor</t>
        </is>
      </c>
      <c r="C73" s="7" t="inlineStr">
        <is>
          <t>60 timber, 20 planks, 20 stone, 60 coins</t>
        </is>
      </c>
      <c r="D73" s="27" t="n">
        <v>10</v>
      </c>
      <c r="E73" s="27" t="n">
        <v>6</v>
      </c>
      <c r="F73" s="27" t="n"/>
      <c r="G73" s="27" t="n">
        <v>6</v>
      </c>
      <c r="H73" s="27" t="n"/>
      <c r="I73" s="27" t="n"/>
      <c r="J73" s="27" t="n"/>
      <c r="K73" s="27" t="n"/>
      <c r="L73" s="27" t="n"/>
      <c r="M73" s="27" t="n"/>
      <c r="N73" s="27" t="n"/>
      <c r="O73" s="27" t="n"/>
      <c r="P73" s="28">
        <f>COUNT(D73:N73)</f>
        <v/>
      </c>
      <c r="Q73" s="28">
        <f>SUM(D73:N73)</f>
        <v/>
      </c>
      <c r="R73" s="28">
        <f>IF(P73&lt;=4,"OK","Too many")</f>
        <v/>
      </c>
      <c r="S73" s="7" t="inlineStr">
        <is>
          <t>Cheaper, since taxes now wait for it (step 2, question 9).</t>
        </is>
      </c>
      <c r="T73" s="45" t="inlineStr">
        <is>
          <t>Let's make all Manor buildings have to be contigous to a manor building or a decorations contiguous to a manor building and work in an art that make the whole Manor area grass merge, so it forms a "single" dirt silhouette</t>
        </is>
      </c>
    </row>
    <row r="74" ht="15" customHeight="1" s="46">
      <c r="A74" s="7" t="inlineStr">
        <is>
          <t>Manor House (enlarge)</t>
        </is>
      </c>
      <c r="B74" s="7" t="inlineStr">
        <is>
          <t>Manor</t>
        </is>
      </c>
      <c r="C74" s="7" t="inlineStr">
        <is>
          <t>40 timber, 20 stone, 50 coins</t>
        </is>
      </c>
      <c r="D74" s="27" t="n">
        <v>4</v>
      </c>
      <c r="E74" s="27" t="n">
        <v>10</v>
      </c>
      <c r="F74" s="27" t="n"/>
      <c r="G74" s="27" t="n">
        <v>10</v>
      </c>
      <c r="H74" s="27" t="n"/>
      <c r="I74" s="27" t="n"/>
      <c r="J74" s="27" t="n"/>
      <c r="K74" s="27" t="n"/>
      <c r="L74" s="27" t="n"/>
      <c r="M74" s="27" t="n"/>
      <c r="N74" s="27" t="n"/>
      <c r="O74" s="27" t="n">
        <v>12</v>
      </c>
      <c r="P74" s="28">
        <f>COUNT(D74:N74)</f>
        <v/>
      </c>
      <c r="Q74" s="28">
        <f>SUM(D74:N74)</f>
        <v/>
      </c>
      <c r="R74" s="28">
        <f>IF(P74&lt;=4,"OK","Too many")</f>
        <v/>
      </c>
      <c r="S74" s="7" t="n"/>
      <c r="T74" s="45" t="n"/>
    </row>
    <row r="75" ht="23.25" customHeight="1" s="46">
      <c r="A75" s="7" t="inlineStr">
        <is>
          <t>Stone Manor (enlarge)</t>
        </is>
      </c>
      <c r="B75" s="7" t="inlineStr">
        <is>
          <t>Manor</t>
        </is>
      </c>
      <c r="C75" s="7" t="inlineStr">
        <is>
          <t>40 planks, 40 dressed stone, 20 stone, 150 coins</t>
        </is>
      </c>
      <c r="D75" s="27" t="n"/>
      <c r="E75" s="27" t="n"/>
      <c r="F75" s="27" t="n"/>
      <c r="G75" s="27" t="n">
        <v>5</v>
      </c>
      <c r="H75" s="27" t="n">
        <v>10</v>
      </c>
      <c r="I75" s="27" t="n">
        <v>10</v>
      </c>
      <c r="J75" s="27" t="n"/>
      <c r="K75" s="27" t="n"/>
      <c r="L75" s="27" t="n"/>
      <c r="M75" s="27" t="n"/>
      <c r="N75" s="27" t="n"/>
      <c r="O75" s="27" t="n">
        <v>40</v>
      </c>
      <c r="P75" s="28">
        <f>COUNT(D75:N75)</f>
        <v/>
      </c>
      <c r="Q75" s="28">
        <f>SUM(D75:N75)</f>
        <v/>
      </c>
      <c r="R75" s="28">
        <f>IF(P75&lt;=4,"OK","Too many")</f>
        <v/>
      </c>
      <c r="S75" s="7" t="n"/>
      <c r="T75" s="45" t="n"/>
    </row>
    <row r="76" ht="15" customHeight="1" s="46">
      <c r="A76" s="7" t="inlineStr">
        <is>
          <t>Lord's Stable</t>
        </is>
      </c>
      <c r="B76" s="7" t="inlineStr">
        <is>
          <t>Manor</t>
        </is>
      </c>
      <c r="C76" s="7" t="inlineStr">
        <is>
          <t>40 timber, 20 planks, 120 coins</t>
        </is>
      </c>
      <c r="D76" s="27" t="n">
        <v>10</v>
      </c>
      <c r="E76" s="27" t="n">
        <v>5</v>
      </c>
      <c r="F76" s="27" t="n"/>
      <c r="G76" s="27" t="n"/>
      <c r="H76" s="27" t="n"/>
      <c r="I76" s="27" t="n"/>
      <c r="J76" s="27" t="n"/>
      <c r="K76" s="27" t="n"/>
      <c r="L76" s="27" t="n"/>
      <c r="M76" s="27" t="n"/>
      <c r="N76" s="27" t="n"/>
      <c r="O76" s="27" t="n">
        <v>30</v>
      </c>
      <c r="P76" s="28">
        <f>COUNT(D76:N76)</f>
        <v/>
      </c>
      <c r="Q76" s="28">
        <f>SUM(D76:N76)</f>
        <v/>
      </c>
      <c r="R76" s="28">
        <f>IF(P76&lt;=4,"OK","Too many")</f>
        <v/>
      </c>
      <c r="S76" s="7" t="n"/>
      <c r="T76" s="45" t="n"/>
    </row>
    <row r="77" ht="15" customHeight="1" s="46">
      <c r="A77" s="7" t="inlineStr">
        <is>
          <t>Watch Tower</t>
        </is>
      </c>
      <c r="B77" s="7" t="inlineStr">
        <is>
          <t>Manor</t>
        </is>
      </c>
      <c r="C77" s="7" t="inlineStr">
        <is>
          <t>20 stone, 10 planks, 40 coins</t>
        </is>
      </c>
      <c r="D77" s="27" t="n"/>
      <c r="E77" s="27" t="n">
        <v>3</v>
      </c>
      <c r="F77" s="27" t="n"/>
      <c r="G77" s="27" t="n">
        <v>10</v>
      </c>
      <c r="H77" s="27" t="n"/>
      <c r="I77" s="27" t="n">
        <v>6</v>
      </c>
      <c r="J77" s="27" t="n"/>
      <c r="K77" s="27" t="n"/>
      <c r="L77" s="27" t="n"/>
      <c r="M77" s="27" t="n"/>
      <c r="N77" s="27" t="n"/>
      <c r="O77" s="27" t="n"/>
      <c r="P77" s="28">
        <f>COUNT(D77:N77)</f>
        <v/>
      </c>
      <c r="Q77" s="28">
        <f>SUM(D77:N77)</f>
        <v/>
      </c>
      <c r="R77" s="28">
        <f>IF(P77&lt;=4,"OK","Too many")</f>
        <v/>
      </c>
      <c r="S77" s="7" t="n"/>
      <c r="T77" s="45" t="inlineStr">
        <is>
          <t>Limit to 2 x city_level_above_village</t>
        </is>
      </c>
    </row>
    <row r="78" ht="15" customHeight="1" s="46">
      <c r="A78" s="7" t="inlineStr">
        <is>
          <t>Manor Garden</t>
        </is>
      </c>
      <c r="B78" s="7" t="inlineStr">
        <is>
          <t>Manor</t>
        </is>
      </c>
      <c r="C78" s="7" t="inlineStr">
        <is>
          <t>60 stone, 30 planks, 900 coins</t>
        </is>
      </c>
      <c r="D78" s="27" t="n"/>
      <c r="E78" s="27" t="n">
        <v>8</v>
      </c>
      <c r="F78" s="27" t="n"/>
      <c r="G78" s="27" t="n">
        <v>15</v>
      </c>
      <c r="H78" s="27" t="n">
        <v>6</v>
      </c>
      <c r="I78" s="27" t="n"/>
      <c r="J78" s="27" t="n"/>
      <c r="K78" s="27" t="n"/>
      <c r="L78" s="27" t="n"/>
      <c r="M78" s="27" t="n"/>
      <c r="N78" s="27" t="n"/>
      <c r="O78" s="27" t="n">
        <v>200</v>
      </c>
      <c r="P78" s="28">
        <f>COUNT(D78:N78)</f>
        <v/>
      </c>
      <c r="Q78" s="28">
        <f>SUM(D78:N78)</f>
        <v/>
      </c>
      <c r="R78" s="28">
        <f>IF(P78&lt;=4,"OK","Too many")</f>
        <v/>
      </c>
      <c r="S78" s="7" t="n"/>
      <c r="T78" s="45" t="n"/>
    </row>
    <row r="79" ht="15" customHeight="1" s="46">
      <c r="A79" s="7" t="inlineStr">
        <is>
          <t>Town wall (a section)</t>
        </is>
      </c>
      <c r="B79" s="7" t="inlineStr">
        <is>
          <t>Manor</t>
        </is>
      </c>
      <c r="C79" s="7" t="inlineStr">
        <is>
          <t>4 stone, 2 dressed stone</t>
        </is>
      </c>
      <c r="D79" s="27" t="n"/>
      <c r="E79" s="27" t="n"/>
      <c r="F79" s="27" t="n"/>
      <c r="G79" s="27" t="n">
        <v>6</v>
      </c>
      <c r="H79" s="27" t="n"/>
      <c r="I79" s="27" t="n"/>
      <c r="J79" s="27" t="n"/>
      <c r="K79" s="27" t="n"/>
      <c r="L79" s="27" t="n"/>
      <c r="M79" s="27" t="n"/>
      <c r="N79" s="27" t="n"/>
      <c r="O79" s="27" t="n"/>
      <c r="P79" s="28">
        <f>COUNT(D79:N79)</f>
        <v/>
      </c>
      <c r="Q79" s="28">
        <f>SUM(D79:N79)</f>
        <v/>
      </c>
      <c r="R79" s="28">
        <f>IF(P79&lt;=4,"OK","Too many")</f>
        <v/>
      </c>
      <c r="S79" s="7" t="n"/>
      <c r="T79" s="45" t="n"/>
    </row>
    <row r="80" ht="15" customHeight="1" s="46">
      <c r="A80" s="24" t="inlineStr">
        <is>
          <t>Great Works (revisited in step 5)</t>
        </is>
      </c>
      <c r="B80" s="24" t="n"/>
      <c r="C80" s="24" t="n"/>
      <c r="D80" s="24" t="n"/>
      <c r="E80" s="24" t="n"/>
      <c r="F80" s="24" t="n"/>
      <c r="G80" s="24" t="n"/>
      <c r="H80" s="24" t="n"/>
      <c r="I80" s="24" t="n"/>
      <c r="J80" s="24" t="n"/>
      <c r="K80" s="24" t="n"/>
      <c r="L80" s="24" t="n"/>
      <c r="M80" s="24" t="n"/>
      <c r="N80" s="24" t="n"/>
      <c r="O80" s="24" t="n"/>
      <c r="P80" s="24" t="n"/>
      <c r="Q80" s="24" t="n"/>
      <c r="R80" s="24" t="n"/>
      <c r="S80" s="24" t="n"/>
      <c r="T80" s="24" t="n"/>
    </row>
    <row r="81" ht="15" customHeight="1" s="46">
      <c r="A81" s="7" t="inlineStr">
        <is>
          <t>Statue</t>
        </is>
      </c>
      <c r="B81" s="7" t="inlineStr">
        <is>
          <t>Great Works</t>
        </is>
      </c>
      <c r="C81" s="7" t="inlineStr">
        <is>
          <t>20 dressed stone, 2 tools, 150 coins</t>
        </is>
      </c>
      <c r="D81" s="27" t="n"/>
      <c r="E81" s="27" t="n"/>
      <c r="F81" s="27" t="n"/>
      <c r="G81" s="27" t="n"/>
      <c r="H81" s="27" t="n">
        <v>5</v>
      </c>
      <c r="I81" s="27" t="n"/>
      <c r="J81" s="27" t="n"/>
      <c r="K81" s="27" t="n"/>
      <c r="L81" s="27" t="n"/>
      <c r="M81" s="27" t="n">
        <v>1</v>
      </c>
      <c r="N81" s="27" t="n"/>
      <c r="O81" s="27" t="n">
        <v>50</v>
      </c>
      <c r="P81" s="28">
        <f>COUNT(D81:N81)</f>
        <v/>
      </c>
      <c r="Q81" s="28">
        <f>SUM(D81:N81)</f>
        <v/>
      </c>
      <c r="R81" s="28">
        <f>IF(P81&lt;=4,"OK","Too many")</f>
        <v/>
      </c>
      <c r="S81" s="7" t="n"/>
      <c r="T81" s="45" t="n"/>
    </row>
    <row r="82" ht="23.25" customHeight="1" s="46">
      <c r="A82" s="7" t="inlineStr">
        <is>
          <t>Bell Tower</t>
        </is>
      </c>
      <c r="B82" s="7" t="inlineStr">
        <is>
          <t>Great Works</t>
        </is>
      </c>
      <c r="C82" s="7" t="inlineStr">
        <is>
          <t>60 stone, 40 dressed stone, 20 planks, 1200 coins</t>
        </is>
      </c>
      <c r="D82" s="27" t="n"/>
      <c r="E82" s="27" t="n">
        <v>5</v>
      </c>
      <c r="F82" s="27" t="n"/>
      <c r="G82" s="27" t="n">
        <v>30</v>
      </c>
      <c r="H82" s="27" t="n">
        <v>10</v>
      </c>
      <c r="I82" s="27" t="n"/>
      <c r="J82" s="27" t="n"/>
      <c r="K82" s="27" t="n"/>
      <c r="L82" s="27" t="n"/>
      <c r="M82" s="27" t="n"/>
      <c r="N82" s="27" t="n"/>
      <c r="O82" s="27" t="n">
        <v>100</v>
      </c>
      <c r="P82" s="28">
        <f>COUNT(D82:N82)</f>
        <v/>
      </c>
      <c r="Q82" s="28">
        <f>SUM(D82:N82)</f>
        <v/>
      </c>
      <c r="R82" s="28">
        <f>IF(P82&lt;=4,"OK","Too many")</f>
        <v/>
      </c>
      <c r="S82" s="7" t="n"/>
      <c r="T82" s="45" t="n"/>
    </row>
    <row r="83" ht="23.25" customHeight="1" s="46">
      <c r="A83" s="7" t="inlineStr">
        <is>
          <t>Covered Market Hall</t>
        </is>
      </c>
      <c r="B83" s="7" t="inlineStr">
        <is>
          <t>Great Works</t>
        </is>
      </c>
      <c r="C83" s="7" t="inlineStr">
        <is>
          <t>30 dressed stone, 25 planks, 20 tiles, 250 coins</t>
        </is>
      </c>
      <c r="D83" s="27" t="n"/>
      <c r="E83" s="27" t="n">
        <v>6</v>
      </c>
      <c r="F83" s="27" t="n"/>
      <c r="G83" s="27" t="n"/>
      <c r="H83" s="27" t="n">
        <v>20</v>
      </c>
      <c r="I83" s="27" t="n">
        <v>30</v>
      </c>
      <c r="J83" s="27" t="n"/>
      <c r="K83" s="27" t="n"/>
      <c r="L83" s="27" t="n"/>
      <c r="M83" s="27" t="n"/>
      <c r="N83" s="27" t="n"/>
      <c r="O83" s="27" t="n">
        <v>50</v>
      </c>
      <c r="P83" s="28">
        <f>COUNT(D83:N83)</f>
        <v/>
      </c>
      <c r="Q83" s="28">
        <f>SUM(D83:N83)</f>
        <v/>
      </c>
      <c r="R83" s="28">
        <f>IF(P83&lt;=4,"OK","Too many")</f>
        <v/>
      </c>
      <c r="S83" s="7" t="n"/>
      <c r="T83" s="45" t="n"/>
    </row>
    <row r="84" ht="34.5" customHeight="1" s="46">
      <c r="A84" s="7" t="inlineStr">
        <is>
          <t>Cathedral</t>
        </is>
      </c>
      <c r="B84" s="7" t="inlineStr">
        <is>
          <t>Great Works</t>
        </is>
      </c>
      <c r="C84" s="7" t="inlineStr">
        <is>
          <t>180 dressed stone, 120 stone, 100 planks, 60 tiles, 25 tools, 1500 coins</t>
        </is>
      </c>
      <c r="D84" s="27" t="n"/>
      <c r="E84" s="27" t="n"/>
      <c r="F84" s="27" t="n"/>
      <c r="G84" s="27" t="n"/>
      <c r="H84" s="27" t="n">
        <v>45</v>
      </c>
      <c r="I84" s="27" t="n"/>
      <c r="J84" s="27" t="n">
        <v>15</v>
      </c>
      <c r="K84" s="27" t="n"/>
      <c r="L84" s="27" t="n">
        <v>8</v>
      </c>
      <c r="M84" s="27" t="n">
        <v>6</v>
      </c>
      <c r="N84" s="27" t="n"/>
      <c r="O84" s="27" t="n">
        <v>250</v>
      </c>
      <c r="P84" s="28">
        <f>COUNT(D84:N84)</f>
        <v/>
      </c>
      <c r="Q84" s="28">
        <f>SUM(D84:N84)</f>
        <v/>
      </c>
      <c r="R84" s="28">
        <f>IF(P84&lt;=4,"OK","Too many")</f>
        <v/>
      </c>
      <c r="S84" s="7" t="inlineStr">
        <is>
          <t>Had six materials (G12): plain stone, planks and tiles give way to mortar and stained glass.</t>
        </is>
      </c>
      <c r="T84" s="45" t="n"/>
    </row>
    <row r="85" ht="23.25" customHeight="1" s="46">
      <c r="A85" s="7" t="inlineStr">
        <is>
          <t>University</t>
        </is>
      </c>
      <c r="B85" s="7" t="inlineStr">
        <is>
          <t>Great Works</t>
        </is>
      </c>
      <c r="C85" s="7" t="inlineStr">
        <is>
          <t>60 dressed stone, 40 planks, 30 tiles, 10 books, 500 coins</t>
        </is>
      </c>
      <c r="D85" s="27" t="n"/>
      <c r="E85" s="27" t="n">
        <v>30</v>
      </c>
      <c r="F85" s="27" t="n"/>
      <c r="G85" s="27" t="n"/>
      <c r="H85" s="27" t="n">
        <v>20</v>
      </c>
      <c r="I85" s="27" t="n">
        <v>30</v>
      </c>
      <c r="J85" s="27" t="n"/>
      <c r="K85" s="27" t="n"/>
      <c r="L85" s="27" t="n"/>
      <c r="M85" s="27" t="n"/>
      <c r="N85" s="27" t="n">
        <v>10</v>
      </c>
      <c r="O85" s="27" t="n">
        <v>150</v>
      </c>
      <c r="P85" s="28">
        <f>COUNT(D85:N85)</f>
        <v/>
      </c>
      <c r="Q85" s="28">
        <f>SUM(D85:N85)</f>
        <v/>
      </c>
      <c r="R85" s="28">
        <f>IF(P85&lt;=4,"OK","Too many")</f>
        <v/>
      </c>
      <c r="S85" s="7" t="n"/>
      <c r="T85" s="45" t="n"/>
    </row>
    <row r="86" ht="23.25" customHeight="1" s="46">
      <c r="A86" s="7" t="inlineStr">
        <is>
          <t>Guildhall</t>
        </is>
      </c>
      <c r="B86" s="7" t="inlineStr">
        <is>
          <t>Great Works</t>
        </is>
      </c>
      <c r="C86" s="7" t="inlineStr">
        <is>
          <t>100 dressed stone, 80 planks, 40 tiles, 15 tools, 4000 coins</t>
        </is>
      </c>
      <c r="D86" s="27" t="n"/>
      <c r="E86" s="27" t="n"/>
      <c r="F86" s="27" t="n"/>
      <c r="G86" s="27" t="n"/>
      <c r="H86" s="27" t="n">
        <v>25</v>
      </c>
      <c r="I86" s="27" t="n">
        <v>40</v>
      </c>
      <c r="J86" s="27" t="n">
        <v>12</v>
      </c>
      <c r="K86" s="27" t="n"/>
      <c r="L86" s="27" t="n">
        <v>6</v>
      </c>
      <c r="M86" s="27" t="n"/>
      <c r="N86" s="27" t="n"/>
      <c r="O86" s="27" t="n">
        <v>400</v>
      </c>
      <c r="P86" s="28">
        <f>COUNT(D86:N86)</f>
        <v/>
      </c>
      <c r="Q86" s="28">
        <f>SUM(D86:N86)</f>
        <v/>
      </c>
      <c r="R86" s="28">
        <f>IF(P86&lt;=4,"OK","Too many")</f>
        <v/>
      </c>
      <c r="S86" s="7" t="n"/>
      <c r="T86" s="45" t="n"/>
    </row>
    <row r="87" ht="15" customHeight="1" s="46">
      <c r="A87" s="24" t="inlineStr">
        <is>
          <t>Decorations and backyards</t>
        </is>
      </c>
      <c r="B87" s="24" t="n"/>
      <c r="C87" s="24" t="n"/>
      <c r="D87" s="24" t="n"/>
      <c r="E87" s="24" t="n"/>
      <c r="F87" s="24" t="n"/>
      <c r="G87" s="24" t="n"/>
      <c r="H87" s="24" t="n"/>
      <c r="I87" s="24" t="n"/>
      <c r="J87" s="24" t="n"/>
      <c r="K87" s="24" t="n"/>
      <c r="L87" s="24" t="n"/>
      <c r="M87" s="24" t="n"/>
      <c r="N87" s="24" t="n"/>
      <c r="O87" s="24" t="n"/>
      <c r="P87" s="24" t="n"/>
      <c r="Q87" s="24" t="n"/>
      <c r="R87" s="24" t="n"/>
      <c r="S87" s="24" t="n"/>
      <c r="T87" s="24" t="n"/>
    </row>
    <row r="88" ht="15" customHeight="1" s="46">
      <c r="A88" s="7" t="inlineStr">
        <is>
          <t>Flower Garden</t>
        </is>
      </c>
      <c r="B88" s="7" t="inlineStr">
        <is>
          <t>Decor</t>
        </is>
      </c>
      <c r="C88" s="7" t="inlineStr">
        <is>
          <t>5 timber, 25 coins</t>
        </is>
      </c>
      <c r="D88" s="27" t="n">
        <v>1</v>
      </c>
      <c r="E88" s="27" t="n"/>
      <c r="F88" s="27" t="n"/>
      <c r="G88" s="27" t="n"/>
      <c r="H88" s="27" t="n"/>
      <c r="I88" s="27" t="n"/>
      <c r="J88" s="27" t="n"/>
      <c r="K88" s="27" t="n"/>
      <c r="L88" s="27" t="n"/>
      <c r="M88" s="27" t="n"/>
      <c r="N88" s="27" t="n"/>
      <c r="O88" s="27" t="n">
        <v>5</v>
      </c>
      <c r="P88" s="28">
        <f>COUNT(D88:N88)</f>
        <v/>
      </c>
      <c r="Q88" s="28">
        <f>SUM(D88:N88)</f>
        <v/>
      </c>
      <c r="R88" s="28">
        <f>IF(P88&lt;=4,"OK","Too many")</f>
        <v/>
      </c>
      <c r="S88" s="7" t="n"/>
      <c r="T88" s="45" t="n"/>
    </row>
    <row r="89" ht="15" customHeight="1" s="46">
      <c r="A89" s="7" t="inlineStr">
        <is>
          <t>Flower Bed</t>
        </is>
      </c>
      <c r="B89" s="7" t="inlineStr">
        <is>
          <t>Decor</t>
        </is>
      </c>
      <c r="C89" s="7" t="inlineStr">
        <is>
          <t>4 coins</t>
        </is>
      </c>
      <c r="D89" s="27" t="n"/>
      <c r="E89" s="27" t="n"/>
      <c r="F89" s="27" t="n"/>
      <c r="G89" s="27" t="n"/>
      <c r="H89" s="27" t="n"/>
      <c r="I89" s="27" t="n"/>
      <c r="J89" s="27" t="n"/>
      <c r="K89" s="27" t="n"/>
      <c r="L89" s="27" t="n"/>
      <c r="M89" s="27" t="n"/>
      <c r="N89" s="27" t="n"/>
      <c r="O89" s="27" t="n">
        <v>2</v>
      </c>
      <c r="P89" s="28">
        <f>COUNT(D89:N89)</f>
        <v/>
      </c>
      <c r="Q89" s="28">
        <f>SUM(D89:N89)</f>
        <v/>
      </c>
      <c r="R89" s="28">
        <f>IF(P89&lt;=4,"OK","Too many")</f>
        <v/>
      </c>
      <c r="S89" s="7" t="n"/>
      <c r="T89" s="45" t="n"/>
    </row>
    <row r="90" ht="15" customHeight="1" s="46">
      <c r="A90" s="7" t="inlineStr">
        <is>
          <t>Clipped Hedge</t>
        </is>
      </c>
      <c r="B90" s="7" t="inlineStr">
        <is>
          <t>Decor</t>
        </is>
      </c>
      <c r="C90" s="7" t="inlineStr">
        <is>
          <t>3 coins</t>
        </is>
      </c>
      <c r="D90" s="27" t="n"/>
      <c r="E90" s="27" t="n"/>
      <c r="F90" s="27" t="n"/>
      <c r="G90" s="27" t="n"/>
      <c r="H90" s="27" t="n"/>
      <c r="I90" s="27" t="n"/>
      <c r="J90" s="27" t="n"/>
      <c r="K90" s="27" t="n"/>
      <c r="L90" s="27" t="n"/>
      <c r="M90" s="27" t="n"/>
      <c r="N90" s="27" t="n"/>
      <c r="O90" s="27" t="n">
        <v>2</v>
      </c>
      <c r="P90" s="28">
        <f>COUNT(D90:N90)</f>
        <v/>
      </c>
      <c r="Q90" s="28">
        <f>SUM(D90:N90)</f>
        <v/>
      </c>
      <c r="R90" s="28">
        <f>IF(P90&lt;=4,"OK","Too many")</f>
        <v/>
      </c>
      <c r="S90" s="7" t="n"/>
      <c r="T90" s="45" t="n"/>
    </row>
    <row r="91" ht="15" customHeight="1" s="46">
      <c r="A91" s="7" t="inlineStr">
        <is>
          <t>Wayside Shrine</t>
        </is>
      </c>
      <c r="B91" s="7" t="inlineStr">
        <is>
          <t>Decor</t>
        </is>
      </c>
      <c r="C91" s="7" t="inlineStr">
        <is>
          <t>2 timber, 2 stone, 6 coins</t>
        </is>
      </c>
      <c r="D91" s="27" t="n">
        <v>1</v>
      </c>
      <c r="E91" s="27" t="n"/>
      <c r="F91" s="27" t="n"/>
      <c r="G91" s="27" t="n">
        <v>1</v>
      </c>
      <c r="H91" s="27" t="n"/>
      <c r="I91" s="27" t="n"/>
      <c r="J91" s="27" t="n"/>
      <c r="K91" s="27" t="n"/>
      <c r="L91" s="27" t="n"/>
      <c r="M91" s="27" t="n"/>
      <c r="N91" s="27" t="n"/>
      <c r="O91" s="27" t="n">
        <v>2</v>
      </c>
      <c r="P91" s="28">
        <f>COUNT(D91:N91)</f>
        <v/>
      </c>
      <c r="Q91" s="28">
        <f>SUM(D91:N91)</f>
        <v/>
      </c>
      <c r="R91" s="28">
        <f>IF(P91&lt;=4,"OK","Too many")</f>
        <v/>
      </c>
      <c r="S91" s="7" t="n"/>
      <c r="T91" s="45" t="n"/>
    </row>
    <row r="92" ht="15" customHeight="1" s="46">
      <c r="A92" s="7" t="inlineStr">
        <is>
          <t>Stone Fountain</t>
        </is>
      </c>
      <c r="B92" s="7" t="inlineStr">
        <is>
          <t>Decor</t>
        </is>
      </c>
      <c r="C92" s="7" t="inlineStr">
        <is>
          <t>6 stone, 15 coins</t>
        </is>
      </c>
      <c r="D92" s="27" t="n"/>
      <c r="E92" s="27" t="n"/>
      <c r="F92" s="27" t="n"/>
      <c r="G92" s="27" t="n">
        <v>2</v>
      </c>
      <c r="H92" s="27" t="n"/>
      <c r="I92" s="27" t="n"/>
      <c r="J92" s="27" t="n"/>
      <c r="K92" s="27" t="n"/>
      <c r="L92" s="27" t="n"/>
      <c r="M92" s="27" t="n"/>
      <c r="N92" s="27" t="n"/>
      <c r="O92" s="27" t="n">
        <v>10</v>
      </c>
      <c r="P92" s="28">
        <f>COUNT(D92:N92)</f>
        <v/>
      </c>
      <c r="Q92" s="28">
        <f>SUM(D92:N92)</f>
        <v/>
      </c>
      <c r="R92" s="28">
        <f>IF(P92&lt;=4,"OK","Too many")</f>
        <v/>
      </c>
      <c r="S92" s="7" t="n"/>
      <c r="T92" s="45" t="n"/>
    </row>
    <row r="93" ht="15" customHeight="1" s="46">
      <c r="A93" s="7" t="inlineStr">
        <is>
          <t>Public Garden</t>
        </is>
      </c>
      <c r="B93" s="7" t="inlineStr">
        <is>
          <t>Decor</t>
        </is>
      </c>
      <c r="C93" s="7" t="inlineStr">
        <is>
          <t>10 timber, 10 stone, 120 coins</t>
        </is>
      </c>
      <c r="D93" s="27" t="n">
        <v>3</v>
      </c>
      <c r="E93" s="27" t="n"/>
      <c r="F93" s="27" t="n"/>
      <c r="G93" s="27" t="n">
        <v>3</v>
      </c>
      <c r="H93" s="27" t="n"/>
      <c r="I93" s="27" t="n"/>
      <c r="J93" s="27" t="n"/>
      <c r="K93" s="27" t="n"/>
      <c r="L93" s="27" t="n"/>
      <c r="M93" s="27" t="n"/>
      <c r="N93" s="27" t="n"/>
      <c r="O93" s="27" t="n">
        <v>30</v>
      </c>
      <c r="P93" s="28">
        <f>COUNT(D93:N93)</f>
        <v/>
      </c>
      <c r="Q93" s="28">
        <f>SUM(D93:N93)</f>
        <v/>
      </c>
      <c r="R93" s="28">
        <f>IF(P93&lt;=4,"OK","Too many")</f>
        <v/>
      </c>
      <c r="S93" s="7" t="n"/>
      <c r="T93" s="45" t="n"/>
    </row>
    <row r="94" ht="15" customHeight="1" s="46">
      <c r="A94" s="7" t="inlineStr">
        <is>
          <t>Maypole</t>
        </is>
      </c>
      <c r="B94" s="7" t="inlineStr">
        <is>
          <t>Decor</t>
        </is>
      </c>
      <c r="C94" s="7" t="inlineStr">
        <is>
          <t>15 timber, 60 coins</t>
        </is>
      </c>
      <c r="D94" s="27" t="n">
        <v>4</v>
      </c>
      <c r="E94" s="27" t="n"/>
      <c r="F94" s="27" t="n"/>
      <c r="G94" s="27" t="n"/>
      <c r="H94" s="27" t="n"/>
      <c r="I94" s="27" t="n"/>
      <c r="J94" s="27" t="n"/>
      <c r="K94" s="27" t="n"/>
      <c r="L94" s="27" t="n"/>
      <c r="M94" s="27" t="n"/>
      <c r="N94" s="27" t="n"/>
      <c r="O94" s="27" t="n">
        <v>15</v>
      </c>
      <c r="P94" s="28">
        <f>COUNT(D94:N94)</f>
        <v/>
      </c>
      <c r="Q94" s="28">
        <f>SUM(D94:N94)</f>
        <v/>
      </c>
      <c r="R94" s="28">
        <f>IF(P94&lt;=4,"OK","Too many")</f>
        <v/>
      </c>
      <c r="S94" s="7" t="n"/>
      <c r="T94" s="45" t="n"/>
    </row>
    <row r="95" ht="15" customHeight="1" s="46">
      <c r="A95" s="7" t="inlineStr">
        <is>
          <t>Vegetable patch (backyard)</t>
        </is>
      </c>
      <c r="B95" s="7" t="inlineStr">
        <is>
          <t>Decor</t>
        </is>
      </c>
      <c r="C95" s="7" t="inlineStr">
        <is>
          <t>4 timber, 8 coins</t>
        </is>
      </c>
      <c r="D95" s="27" t="n"/>
      <c r="E95" s="27" t="n">
        <v>3</v>
      </c>
      <c r="F95" s="27" t="n"/>
      <c r="G95" s="27" t="n"/>
      <c r="H95" s="27" t="n"/>
      <c r="I95" s="27" t="n"/>
      <c r="J95" s="27" t="n"/>
      <c r="K95" s="27" t="n"/>
      <c r="L95" s="27" t="n"/>
      <c r="M95" s="27" t="n"/>
      <c r="N95" s="27" t="n"/>
      <c r="O95" s="27" t="n">
        <v>10</v>
      </c>
      <c r="P95" s="28">
        <f>COUNT(D95:N95)</f>
        <v/>
      </c>
      <c r="Q95" s="28">
        <f>SUM(D95:N95)</f>
        <v/>
      </c>
      <c r="R95" s="28">
        <f>IF(P95&lt;=4,"OK","Too many")</f>
        <v/>
      </c>
      <c r="S95" s="7" t="n"/>
      <c r="T95" s="45" t="n"/>
    </row>
    <row r="96" ht="15" customHeight="1" s="46">
      <c r="A96" s="7" t="inlineStr">
        <is>
          <t>Hen coop (backyard)</t>
        </is>
      </c>
      <c r="B96" s="7" t="inlineStr">
        <is>
          <t>Decor</t>
        </is>
      </c>
      <c r="C96" s="7" t="inlineStr">
        <is>
          <t>8 timber, 15 coins</t>
        </is>
      </c>
      <c r="D96" s="27" t="n"/>
      <c r="E96" s="27" t="n">
        <v>3</v>
      </c>
      <c r="F96" s="27" t="n"/>
      <c r="G96" s="27" t="n"/>
      <c r="H96" s="27" t="n"/>
      <c r="I96" s="27" t="n"/>
      <c r="J96" s="27" t="n"/>
      <c r="K96" s="27" t="n"/>
      <c r="L96" s="27" t="n"/>
      <c r="M96" s="27" t="n"/>
      <c r="N96" s="27" t="n"/>
      <c r="O96" s="27" t="n">
        <v>10</v>
      </c>
      <c r="P96" s="28">
        <f>COUNT(D96:N96)</f>
        <v/>
      </c>
      <c r="Q96" s="28">
        <f>SUM(D96:N96)</f>
        <v/>
      </c>
      <c r="R96" s="28">
        <f>IF(P96&lt;=4,"OK","Too many")</f>
        <v/>
      </c>
      <c r="S96" s="7" t="n"/>
      <c r="T96" s="45" t="n"/>
    </row>
    <row r="97" ht="15" customHeight="1" s="46">
      <c r="A97" s="7" t="inlineStr">
        <is>
          <t>Beehives (backyard)</t>
        </is>
      </c>
      <c r="B97" s="7" t="inlineStr">
        <is>
          <t>Decor</t>
        </is>
      </c>
      <c r="C97" s="7" t="inlineStr">
        <is>
          <t>6 timber, 25 coins</t>
        </is>
      </c>
      <c r="D97" s="27" t="n"/>
      <c r="E97" s="27" t="n">
        <v>5</v>
      </c>
      <c r="F97" s="27" t="n"/>
      <c r="G97" s="27" t="n"/>
      <c r="H97" s="27" t="n"/>
      <c r="I97" s="27" t="n"/>
      <c r="J97" s="27" t="n"/>
      <c r="K97" s="27" t="n"/>
      <c r="L97" s="27" t="n"/>
      <c r="M97" s="27" t="n"/>
      <c r="N97" s="27" t="n"/>
      <c r="O97" s="27" t="n">
        <v>12</v>
      </c>
      <c r="P97" s="28">
        <f>COUNT(D97:N97)</f>
        <v/>
      </c>
      <c r="Q97" s="28">
        <f>SUM(D97:N97)</f>
        <v/>
      </c>
      <c r="R97" s="28">
        <f>IF(P97&lt;=4,"OK","Too many")</f>
        <v/>
      </c>
      <c r="S97" s="7" t="n"/>
      <c r="T97" s="45" t="n"/>
    </row>
    <row r="98" ht="15" customHeight="1" s="46">
      <c r="A98" s="7" t="inlineStr">
        <is>
          <t>Flower boxes (house)</t>
        </is>
      </c>
      <c r="B98" s="7" t="inlineStr">
        <is>
          <t>Decor</t>
        </is>
      </c>
      <c r="C98" s="7" t="inlineStr">
        <is>
          <t>6 coins</t>
        </is>
      </c>
      <c r="D98" s="27" t="n"/>
      <c r="E98" s="27" t="n"/>
      <c r="F98" s="27" t="n"/>
      <c r="G98" s="27" t="n"/>
      <c r="H98" s="27" t="n"/>
      <c r="I98" s="27" t="n"/>
      <c r="J98" s="27" t="n"/>
      <c r="K98" s="27" t="n"/>
      <c r="L98" s="27" t="n"/>
      <c r="M98" s="27" t="n"/>
      <c r="N98" s="27" t="n"/>
      <c r="O98" s="27" t="n">
        <v>3</v>
      </c>
      <c r="P98" s="28">
        <f>COUNT(D98:N98)</f>
        <v/>
      </c>
      <c r="Q98" s="28">
        <f>SUM(D98:N98)</f>
        <v/>
      </c>
      <c r="R98" s="28">
        <f>IF(P98&lt;=4,"OK","Too many")</f>
        <v/>
      </c>
      <c r="S98" s="7" t="n"/>
      <c r="T98" s="45" t="n"/>
    </row>
    <row r="99" ht="15" customHeight="1" s="46">
      <c r="A99" s="24" t="inlineStr">
        <is>
          <t>Roads and zones</t>
        </is>
      </c>
      <c r="B99" s="24" t="n"/>
      <c r="C99" s="24" t="n"/>
      <c r="D99" s="24" t="n"/>
      <c r="E99" s="24" t="n"/>
      <c r="F99" s="24" t="n"/>
      <c r="G99" s="24" t="n"/>
      <c r="H99" s="24" t="n"/>
      <c r="I99" s="24" t="n"/>
      <c r="J99" s="24" t="n"/>
      <c r="K99" s="24" t="n"/>
      <c r="L99" s="24" t="n"/>
      <c r="M99" s="24" t="n"/>
      <c r="N99" s="24" t="n"/>
      <c r="O99" s="24" t="n"/>
      <c r="P99" s="24" t="n"/>
      <c r="Q99" s="24" t="n"/>
      <c r="R99" s="24" t="n"/>
      <c r="S99" s="24" t="n"/>
      <c r="T99" s="24" t="n"/>
    </row>
    <row r="100" ht="23.25" customHeight="1" s="46">
      <c r="A100" s="7" t="inlineStr">
        <is>
          <t>Stone road (per tile)</t>
        </is>
      </c>
      <c r="B100" s="7" t="inlineStr">
        <is>
          <t>Roads</t>
        </is>
      </c>
      <c r="C100" s="7" t="inlineStr">
        <is>
          <t>2 stone</t>
        </is>
      </c>
      <c r="D100" s="27" t="n"/>
      <c r="E100" s="27" t="n"/>
      <c r="F100" s="27" t="n"/>
      <c r="G100" s="27" t="n">
        <v>2</v>
      </c>
      <c r="H100" s="27" t="n"/>
      <c r="I100" s="27" t="n"/>
      <c r="J100" s="27" t="n"/>
      <c r="K100" s="27" t="n"/>
      <c r="L100" s="27" t="n"/>
      <c r="M100" s="27" t="n"/>
      <c r="N100" s="27" t="n"/>
      <c r="O100" s="27" t="n"/>
      <c r="P100" s="28">
        <f>COUNT(D100:N100)</f>
        <v/>
      </c>
      <c r="Q100" s="28">
        <f>SUM(D100:N100)</f>
        <v/>
      </c>
      <c r="R100" s="28">
        <f>IF(P100&lt;=4,"OK","Too many")</f>
        <v/>
      </c>
      <c r="S100" s="7" t="inlineStr">
        <is>
          <t>Per 2 tiles in practice: half a stone a tile, rounded when laid.</t>
        </is>
      </c>
      <c r="T100" s="45" t="n"/>
    </row>
    <row r="101" ht="15" customHeight="1" s="46">
      <c r="A101" s="7" t="inlineStr">
        <is>
          <t>Cobbled street (per tile)</t>
        </is>
      </c>
      <c r="B101" s="7" t="inlineStr">
        <is>
          <t>Roads</t>
        </is>
      </c>
      <c r="C101" s="7" t="inlineStr">
        <is>
          <t>1 dressed stone</t>
        </is>
      </c>
      <c r="D101" s="27" t="n"/>
      <c r="E101" s="27" t="n"/>
      <c r="F101" s="27" t="n"/>
      <c r="G101" s="27" t="n"/>
      <c r="H101" s="27" t="n">
        <v>2</v>
      </c>
      <c r="I101" s="27" t="n"/>
      <c r="J101" s="27" t="n"/>
      <c r="K101" s="27" t="n"/>
      <c r="L101" s="27" t="n"/>
      <c r="M101" s="27" t="n"/>
      <c r="N101" s="27" t="n"/>
      <c r="O101" s="27" t="n"/>
      <c r="P101" s="28">
        <f>COUNT(D101:N101)</f>
        <v/>
      </c>
      <c r="Q101" s="28">
        <f>SUM(D101:N101)</f>
        <v/>
      </c>
      <c r="R101" s="28">
        <f>IF(P101&lt;=4,"OK","Too many")</f>
        <v/>
      </c>
      <c r="S101" s="7" t="inlineStr">
        <is>
          <t>Per 4 tiles in practice.</t>
        </is>
      </c>
      <c r="T101" s="45" t="n"/>
    </row>
    <row r="102" ht="23.25" customHeight="1" s="46">
      <c r="A102" s="7" t="inlineStr">
        <is>
          <t>Pasture fence</t>
        </is>
      </c>
      <c r="B102" s="7" t="inlineStr">
        <is>
          <t>Zones</t>
        </is>
      </c>
      <c r="C102" s="7" t="inlineStr">
        <is>
          <t>free</t>
        </is>
      </c>
      <c r="D102" s="27" t="n"/>
      <c r="E102" s="27" t="n"/>
      <c r="F102" s="27" t="n"/>
      <c r="G102" s="27" t="n"/>
      <c r="H102" s="27" t="n"/>
      <c r="I102" s="27" t="n"/>
      <c r="J102" s="27" t="n"/>
      <c r="K102" s="27" t="n"/>
      <c r="L102" s="27" t="n"/>
      <c r="M102" s="27" t="n"/>
      <c r="N102" s="27" t="n"/>
      <c r="O102" s="27" t="n"/>
      <c r="P102" s="28">
        <f>COUNT(D102:N102)</f>
        <v/>
      </c>
      <c r="Q102" s="28">
        <f>SUM(D102:N102)</f>
        <v/>
      </c>
      <c r="R102" s="28">
        <f>IF(P102&lt;=4,"OK","Too many")</f>
        <v/>
      </c>
      <c r="S102" s="7" t="inlineStr">
        <is>
          <t>Today 1 timber per tile of width plus height: becomes 1 timber per 4.</t>
        </is>
      </c>
      <c r="T102" s="45" t="inlineStr">
        <is>
          <t>OK</t>
        </is>
      </c>
    </row>
    <row r="103" ht="23.25" customHeight="1" s="46">
      <c r="A103" s="7" t="inlineStr">
        <is>
          <t>Orchard planting</t>
        </is>
      </c>
      <c r="B103" s="7" t="inlineStr">
        <is>
          <t>Zones</t>
        </is>
      </c>
      <c r="C103" s="7" t="inlineStr">
        <is>
          <t>free</t>
        </is>
      </c>
      <c r="D103" s="27" t="n"/>
      <c r="E103" s="27" t="n"/>
      <c r="F103" s="27" t="n"/>
      <c r="G103" s="27" t="n"/>
      <c r="H103" s="27" t="n"/>
      <c r="I103" s="27" t="n"/>
      <c r="J103" s="27" t="n"/>
      <c r="K103" s="27" t="n"/>
      <c r="L103" s="27" t="n"/>
      <c r="M103" s="27" t="n"/>
      <c r="N103" s="27" t="n"/>
      <c r="O103" s="27" t="n"/>
      <c r="P103" s="28">
        <f>COUNT(D103:N103)</f>
        <v/>
      </c>
      <c r="Q103" s="28">
        <f>SUM(D103:N103)</f>
        <v/>
      </c>
      <c r="R103" s="28">
        <f>IF(P103&lt;=4,"OK","Too many")</f>
        <v/>
      </c>
      <c r="S103" s="7" t="inlineStr">
        <is>
          <t>Today 2 coins per tile: becomes 1 coin per 2 tiles.</t>
        </is>
      </c>
      <c r="T103" s="45" t="inlineStr">
        <is>
          <t>Keep 2 coins per tile</t>
        </is>
      </c>
    </row>
    <row r="104" ht="14.25" customHeight="1" s="4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row>
    <row r="105" ht="15" customHeight="1" s="46">
      <c r="A105" s="3" t="inlineStr">
        <is>
          <t>Units = materials only, coins apart. Rounding: under 1 becomes 1; coins under 20 to the nearest coin, above to the nearest 5.</t>
        </is>
      </c>
      <c r="B105" s="2" t="n"/>
      <c r="C105" s="2" t="n"/>
      <c r="D105" s="2" t="n"/>
      <c r="E105" s="2" t="n"/>
      <c r="F105" s="2" t="n"/>
      <c r="G105" s="2" t="n"/>
      <c r="H105" s="2" t="n"/>
      <c r="I105" s="2" t="n"/>
      <c r="J105" s="2" t="n"/>
      <c r="K105" s="2" t="n"/>
      <c r="L105" s="2" t="n"/>
      <c r="M105" s="2" t="n"/>
      <c r="N105" s="2" t="n"/>
      <c r="O105" s="2" t="n"/>
      <c r="P105" s="2" t="n"/>
      <c r="Q105" s="2" t="n"/>
      <c r="R105" s="2" t="n"/>
      <c r="S105" s="2" t="n"/>
      <c r="T105" s="2" t="n"/>
    </row>
    <row r="106" ht="14.25" customHeight="1" s="4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row>
    <row r="107" ht="14.25" customHeight="1" s="4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row>
    <row r="108" ht="14.25" customHeight="1" s="4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row>
    <row r="109" ht="14.25" customHeight="1" s="4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row>
    <row r="110" ht="14.25" customHeight="1" s="4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row>
    <row r="111" ht="14.25" customHeight="1" s="4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row>
    <row r="112" ht="14.25" customHeight="1" s="4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row>
    <row r="113" ht="14.25" customHeight="1" s="4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row>
    <row r="114" ht="14.25" customHeight="1" s="4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row>
    <row r="115" ht="14.25" customHeight="1" s="4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row>
    <row r="116" ht="14.25" customHeight="1" s="4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row>
    <row r="117" ht="14.25" customHeight="1" s="4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row>
    <row r="118" ht="14.25" customHeight="1" s="4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row>
    <row r="119" ht="14.25" customHeight="1" s="4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row>
    <row r="120" ht="14.25" customHeight="1" s="4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row>
    <row r="121" ht="14.25" customHeight="1" s="4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row>
    <row r="122" ht="14.25" customHeight="1" s="4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row>
    <row r="123" ht="14.25" customHeight="1" s="4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row>
    <row r="124" ht="14.25" customHeight="1" s="4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row>
    <row r="125" ht="14.25" customHeight="1" s="4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row>
    <row r="126" ht="14.25" customHeight="1" s="4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row>
    <row r="127" ht="14.25" customHeight="1" s="4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row>
    <row r="128" ht="14.25" customHeight="1" s="4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row>
    <row r="129" ht="14.25" customHeight="1" s="4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row>
    <row r="130" ht="14.25" customHeight="1" s="4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row>
    <row r="131" ht="14.25" customHeight="1" s="4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row>
    <row r="132" ht="14.25" customHeight="1" s="4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row>
    <row r="133" ht="14.25" customHeight="1" s="4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row>
    <row r="134" ht="14.25" customHeight="1" s="4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row>
    <row r="135" ht="14.25" customHeight="1" s="4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row>
    <row r="136" ht="14.25" customHeight="1" s="4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row>
    <row r="137" ht="14.25" customHeight="1" s="4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row>
    <row r="138" ht="14.25" customHeight="1" s="4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row>
    <row r="139" ht="14.25" customHeight="1" s="4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row>
    <row r="140" ht="14.25" customHeight="1" s="4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row>
    <row r="141" ht="14.25" customHeight="1" s="4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row>
    <row r="142" ht="14.25" customHeight="1" s="4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row>
    <row r="143" ht="14.25" customHeight="1" s="4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row>
    <row r="144" ht="14.25" customHeight="1" s="4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row>
    <row r="145" ht="14.25" customHeight="1" s="4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row>
    <row r="146" ht="14.25" customHeight="1" s="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row>
    <row r="147" ht="14.25" customHeight="1" s="4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row>
    <row r="148" ht="14.25" customHeight="1" s="4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row>
    <row r="149" ht="14.25" customHeight="1" s="4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row>
    <row r="150" ht="14.25" customHeight="1" s="4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row>
    <row r="151" ht="14.25" customHeight="1" s="4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row>
    <row r="152" ht="14.25" customHeight="1" s="4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row>
    <row r="153" ht="14.25" customHeight="1" s="4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row>
    <row r="154" ht="14.25" customHeight="1" s="4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row>
    <row r="155" ht="14.25" customHeight="1" s="4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row>
    <row r="156" ht="14.25" customHeight="1" s="4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row>
    <row r="157" ht="14.25" customHeight="1" s="4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row>
    <row r="158" ht="14.25" customHeight="1" s="4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row>
    <row r="159" ht="14.25" customHeight="1" s="4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row>
    <row r="160" ht="14.25" customHeight="1" s="4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row>
    <row r="161" ht="14.25" customHeight="1" s="4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row>
    <row r="162" ht="14.25" customHeight="1" s="4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row>
    <row r="163" ht="14.25" customHeight="1" s="4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row>
    <row r="164" ht="14.25" customHeight="1" s="4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row>
    <row r="165" ht="14.25" customHeight="1" s="4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row>
    <row r="166" ht="14.25" customHeight="1" s="4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row>
    <row r="167" ht="14.25" customHeight="1" s="4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row>
    <row r="168" ht="14.25" customHeight="1" s="4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row>
    <row r="169" ht="14.25" customHeight="1" s="4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row>
    <row r="170" ht="14.25" customHeight="1" s="4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row>
    <row r="171" ht="14.25" customHeight="1" s="4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row>
    <row r="172" ht="14.25" customHeight="1" s="4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row>
    <row r="173" ht="14.25" customHeight="1" s="4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row>
    <row r="174" ht="14.25" customHeight="1" s="4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row>
    <row r="175" ht="14.25" customHeight="1" s="4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row>
    <row r="176" ht="14.25" customHeight="1" s="4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row>
    <row r="177" ht="14.25" customHeight="1" s="4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row>
    <row r="178" ht="14.25" customHeight="1" s="4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row>
    <row r="179" ht="14.25" customHeight="1" s="4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row>
    <row r="180" ht="14.25" customHeight="1" s="4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row>
    <row r="181" ht="14.25" customHeight="1" s="4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row>
    <row r="182" ht="14.25" customHeight="1" s="4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row>
    <row r="183" ht="14.25" customHeight="1" s="4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row>
    <row r="184" ht="14.25" customHeight="1" s="4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row>
    <row r="185" ht="14.25" customHeight="1" s="4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row>
    <row r="186" ht="14.25" customHeight="1" s="4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row>
    <row r="187" ht="14.25" customHeight="1" s="4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row>
    <row r="188" ht="14.25" customHeight="1" s="4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row>
    <row r="189" ht="14.25" customHeight="1" s="4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row>
    <row r="190" ht="14.25" customHeight="1" s="4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row>
    <row r="191" ht="14.25" customHeight="1" s="4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row>
    <row r="192" ht="14.25" customHeight="1" s="4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row>
    <row r="193" ht="14.25" customHeight="1" s="4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row>
    <row r="194" ht="14.25" customHeight="1" s="4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row>
    <row r="195" ht="14.25" customHeight="1" s="4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row>
    <row r="196" ht="14.25" customHeight="1" s="4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row>
    <row r="197" ht="14.25" customHeight="1" s="4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row>
    <row r="198" ht="14.25" customHeight="1" s="4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row>
    <row r="199" ht="14.25" customHeight="1" s="4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row>
    <row r="200" ht="14.25" customHeight="1" s="4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row>
    <row r="201" ht="14.25" customHeight="1" s="4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row>
    <row r="202" ht="14.25" customHeight="1" s="4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row>
    <row r="203" ht="14.25" customHeight="1" s="4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row>
    <row r="204" ht="14.25" customHeight="1" s="4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row>
    <row r="205" ht="14.25" customHeight="1" s="4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row>
    <row r="206" ht="14.25" customHeight="1" s="4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row>
    <row r="207" ht="14.25" customHeight="1" s="4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row>
    <row r="208" ht="14.25" customHeight="1" s="4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row>
    <row r="209" ht="14.25" customHeight="1" s="4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row>
    <row r="210" ht="14.25" customHeight="1" s="4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row>
    <row r="211" ht="14.25" customHeight="1" s="4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row>
    <row r="212" ht="14.25" customHeight="1" s="4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row>
    <row r="213" ht="14.25" customHeight="1" s="4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row>
    <row r="214" ht="14.25" customHeight="1" s="4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row>
    <row r="215" ht="14.25" customHeight="1" s="4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row>
    <row r="216" ht="14.25" customHeight="1" s="4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row>
    <row r="217" ht="14.25" customHeight="1" s="4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row>
    <row r="218" ht="14.25" customHeight="1" s="4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row>
    <row r="219" ht="14.25" customHeight="1" s="4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row>
    <row r="220" ht="14.25" customHeight="1" s="4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row>
    <row r="221" ht="14.25" customHeight="1" s="4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row>
    <row r="222" ht="14.25" customHeight="1" s="4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row>
    <row r="223" ht="14.25" customHeight="1" s="4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row>
    <row r="224" ht="14.25" customHeight="1" s="4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row>
    <row r="225" ht="14.25" customHeight="1" s="4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row>
    <row r="226" ht="14.25" customHeight="1" s="4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row>
    <row r="227" ht="14.25" customHeight="1" s="4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row>
    <row r="228" ht="14.25" customHeight="1" s="4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row>
    <row r="229" ht="14.25" customHeight="1" s="4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row>
    <row r="230" ht="14.25" customHeight="1" s="4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row>
    <row r="231" ht="14.25" customHeight="1" s="4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row>
    <row r="232" ht="14.25" customHeight="1" s="4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row>
    <row r="233" ht="14.25" customHeight="1" s="4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row>
    <row r="234" ht="14.25" customHeight="1" s="4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row>
    <row r="235" ht="14.25" customHeight="1" s="4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row>
    <row r="236" ht="14.25" customHeight="1" s="4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row>
    <row r="237" ht="14.25" customHeight="1" s="4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row>
    <row r="238" ht="14.25" customHeight="1" s="4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row>
    <row r="239" ht="14.25" customHeight="1" s="4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row>
    <row r="240" ht="14.25" customHeight="1" s="4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row>
    <row r="241" ht="14.25" customHeight="1" s="4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row>
    <row r="242" ht="14.25" customHeight="1" s="4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row>
    <row r="243" ht="14.25" customHeight="1" s="4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row>
    <row r="244" ht="14.25" customHeight="1" s="4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row>
    <row r="245" ht="14.25" customHeight="1" s="4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row>
    <row r="246" ht="14.25" customHeight="1" s="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row>
    <row r="247" ht="14.25" customHeight="1" s="4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row>
    <row r="248" ht="14.25" customHeight="1" s="4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row>
    <row r="249" ht="14.25" customHeight="1" s="4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row>
    <row r="250" ht="14.25" customHeight="1" s="4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row>
    <row r="251" ht="14.25" customHeight="1" s="4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row>
    <row r="252" ht="14.25" customHeight="1" s="4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row>
    <row r="253" ht="14.25" customHeight="1" s="4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row>
    <row r="254" ht="14.25" customHeight="1" s="4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row>
    <row r="255" ht="14.25" customHeight="1" s="4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row>
    <row r="256" ht="14.25" customHeight="1" s="4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row>
    <row r="257" ht="14.25" customHeight="1" s="4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row>
    <row r="258" ht="14.25" customHeight="1" s="4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row>
    <row r="259" ht="14.25" customHeight="1" s="4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row>
    <row r="260" ht="14.25" customHeight="1" s="4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row>
    <row r="261" ht="14.25" customHeight="1" s="4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row>
    <row r="262" ht="14.25" customHeight="1" s="4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row>
    <row r="263" ht="14.25" customHeight="1" s="4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row>
    <row r="264" ht="14.25" customHeight="1" s="4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row>
    <row r="265" ht="14.25" customHeight="1" s="4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row>
    <row r="266" ht="14.25" customHeight="1" s="4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row>
    <row r="267" ht="14.25" customHeight="1" s="4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row>
    <row r="268" ht="14.25" customHeight="1" s="4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row>
    <row r="269" ht="14.25" customHeight="1" s="4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row>
    <row r="270" ht="14.25" customHeight="1" s="4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row>
    <row r="271" ht="14.25" customHeight="1" s="4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row>
    <row r="272" ht="14.25" customHeight="1" s="4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row>
    <row r="273" ht="14.25" customHeight="1" s="4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row>
    <row r="274" ht="14.25" customHeight="1" s="4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row>
    <row r="275" ht="14.25" customHeight="1" s="4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row>
    <row r="276" ht="14.25" customHeight="1" s="4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row>
    <row r="277" ht="14.25" customHeight="1" s="4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row>
    <row r="278" ht="14.25" customHeight="1" s="4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row>
    <row r="279" ht="14.25" customHeight="1" s="4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row>
    <row r="280" ht="14.25" customHeight="1" s="4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row>
    <row r="281" ht="14.25" customHeight="1" s="4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row>
    <row r="282" ht="14.25" customHeight="1" s="4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row>
    <row r="283" ht="14.25" customHeight="1" s="4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row>
    <row r="284" ht="14.25" customHeight="1" s="4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row>
    <row r="285" ht="14.25" customHeight="1" s="4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row>
    <row r="286" ht="14.25" customHeight="1" s="4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row>
    <row r="287" ht="14.25" customHeight="1" s="4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row>
    <row r="288" ht="14.25" customHeight="1" s="4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row>
    <row r="289" ht="14.25" customHeight="1" s="4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row>
    <row r="290" ht="14.25" customHeight="1" s="4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row>
    <row r="291" ht="14.25" customHeight="1" s="4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row>
    <row r="292" ht="14.25" customHeight="1" s="4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row>
    <row r="293" ht="14.25" customHeight="1" s="4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row>
    <row r="294" ht="14.25" customHeight="1" s="4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row>
    <row r="295" ht="14.25" customHeight="1" s="4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row>
    <row r="296" ht="14.25" customHeight="1" s="4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row>
    <row r="297" ht="14.25" customHeight="1" s="4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row>
    <row r="298" ht="14.25" customHeight="1" s="4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row>
    <row r="299" ht="14.25" customHeight="1" s="4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row>
    <row r="300" ht="14.25" customHeight="1" s="4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row>
    <row r="301" ht="14.25" customHeight="1" s="4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row>
    <row r="302" ht="14.25" customHeight="1" s="4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row>
    <row r="303" ht="14.25" customHeight="1" s="4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row>
    <row r="304" ht="14.25" customHeight="1" s="4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row>
    <row r="305" ht="14.25" customHeight="1" s="4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row>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conditionalFormatting sqref="R5:R104">
    <cfRule type="expression" priority="1" dxfId="0">
      <formula>R5="Too many"</formula>
    </cfRule>
  </conditionalFormatting>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I248"/>
  <sheetViews>
    <sheetView workbookViewId="0">
      <pane ySplit="4" topLeftCell="A5" activePane="bottomLeft" state="frozen"/>
      <selection pane="bottomLeft" activeCell="B6" sqref="B6"/>
    </sheetView>
  </sheetViews>
  <sheetFormatPr baseColWidth="8" defaultColWidth="14.43" defaultRowHeight="15" customHeight="1"/>
  <cols>
    <col width="24" customWidth="1" style="46" min="1" max="1"/>
    <col width="12" customWidth="1" style="46" min="2" max="2"/>
    <col width="11" customWidth="1" style="46" min="3" max="3"/>
    <col width="10" customWidth="1" style="46" min="4" max="7"/>
    <col width="34" customWidth="1" style="46" min="8" max="8"/>
    <col width="24" customWidth="1" style="46" min="9" max="9"/>
  </cols>
  <sheetData>
    <row r="1" ht="17.25" customHeight="1" s="46">
      <c r="A1" s="1" t="inlineStr">
        <is>
          <t>Upkeep: tools and wood parts worn a year at a full crew</t>
        </is>
      </c>
      <c r="B1" s="2" t="n"/>
      <c r="C1" s="2" t="n"/>
      <c r="D1" s="2" t="n"/>
      <c r="E1" s="2" t="n"/>
      <c r="F1" s="2" t="n"/>
      <c r="G1" s="2" t="n"/>
      <c r="H1" s="2" t="n"/>
      <c r="I1" s="2" t="n"/>
    </row>
    <row r="2" ht="15" customHeight="1" s="46">
      <c r="A2" s="3" t="inlineStr">
        <is>
          <t>Today's rates read from the game; proposed rates in blue. Simple buildings wear at most a tool a year (your note).</t>
        </is>
      </c>
      <c r="B2" s="2" t="n"/>
      <c r="C2" s="2" t="n"/>
      <c r="D2" s="2" t="n"/>
      <c r="E2" s="2" t="n"/>
      <c r="F2" s="2" t="n"/>
      <c r="G2" s="2" t="n"/>
      <c r="H2" s="2" t="n"/>
      <c r="I2" s="2" t="n"/>
    </row>
    <row r="3" ht="14.25" customHeight="1" s="46">
      <c r="A3" s="2" t="n"/>
      <c r="B3" s="2" t="n"/>
      <c r="C3" s="2" t="n"/>
      <c r="D3" s="2" t="n"/>
      <c r="E3" s="2" t="n"/>
      <c r="F3" s="2" t="n"/>
      <c r="G3" s="2" t="n"/>
      <c r="H3" s="2" t="n"/>
      <c r="I3" s="2" t="n"/>
    </row>
    <row r="4" ht="23.25" customHeight="1" s="46">
      <c r="A4" s="9" t="inlineStr">
        <is>
          <t>Building</t>
        </is>
      </c>
      <c r="B4" s="9" t="inlineStr">
        <is>
          <t>Kind</t>
        </is>
      </c>
      <c r="C4" s="9" t="inlineStr">
        <is>
          <t>Wears</t>
        </is>
      </c>
      <c r="D4" s="9" t="inlineStr">
        <is>
          <t>Today a month</t>
        </is>
      </c>
      <c r="E4" s="9" t="inlineStr">
        <is>
          <t>Today a year</t>
        </is>
      </c>
      <c r="F4" s="9" t="inlineStr">
        <is>
          <t>Proposed a year</t>
        </is>
      </c>
      <c r="G4" s="9" t="inlineStr">
        <is>
          <t>Proposed a month</t>
        </is>
      </c>
      <c r="H4" s="9" t="inlineStr">
        <is>
          <t>Change</t>
        </is>
      </c>
      <c r="I4" s="9" t="inlineStr">
        <is>
          <t>Your notes</t>
        </is>
      </c>
    </row>
    <row r="5" ht="13.5" customHeight="1" s="46">
      <c r="A5" s="10" t="inlineStr">
        <is>
          <t>Simple buildings (at most 1 a year)</t>
        </is>
      </c>
      <c r="B5" s="10" t="n"/>
      <c r="C5" s="10" t="n"/>
      <c r="D5" s="10" t="n"/>
      <c r="E5" s="10" t="n"/>
      <c r="F5" s="10" t="n"/>
      <c r="G5" s="10" t="n"/>
      <c r="H5" s="10" t="n"/>
      <c r="I5" s="10" t="n"/>
    </row>
    <row r="6" ht="13.5" customHeight="1" s="46">
      <c r="A6" s="7" t="inlineStr">
        <is>
          <t>Woodcutter's Lodge</t>
        </is>
      </c>
      <c r="B6" s="7" t="inlineStr">
        <is>
          <t>Simple buildings</t>
        </is>
      </c>
      <c r="C6" s="7" t="inlineStr">
        <is>
          <t>tools</t>
        </is>
      </c>
      <c r="D6" s="29" t="n">
        <v>0.15</v>
      </c>
      <c r="E6" s="29">
        <f>D6*12</f>
        <v/>
      </c>
      <c r="F6" s="11" t="n">
        <v>1</v>
      </c>
      <c r="G6" s="29">
        <f>F6/12</f>
        <v/>
      </c>
      <c r="H6" s="7" t="n"/>
      <c r="I6" s="45" t="n"/>
    </row>
    <row r="7" ht="13.5" customHeight="1" s="46">
      <c r="A7" s="7" t="inlineStr">
        <is>
          <t>Forester's Hut</t>
        </is>
      </c>
      <c r="B7" s="7" t="inlineStr">
        <is>
          <t>Simple buildings</t>
        </is>
      </c>
      <c r="C7" s="7" t="inlineStr">
        <is>
          <t>tools</t>
        </is>
      </c>
      <c r="D7" s="29" t="n">
        <v>0.05</v>
      </c>
      <c r="E7" s="29">
        <f>D7*12</f>
        <v/>
      </c>
      <c r="F7" s="11" t="n">
        <v>0.5</v>
      </c>
      <c r="G7" s="29">
        <f>F7/12</f>
        <v/>
      </c>
      <c r="H7" s="7" t="n"/>
      <c r="I7" s="45" t="n"/>
    </row>
    <row r="8" ht="13.5" customHeight="1" s="46">
      <c r="A8" s="7" t="inlineStr">
        <is>
          <t>Stone Quarry</t>
        </is>
      </c>
      <c r="B8" s="7" t="inlineStr">
        <is>
          <t>Simple buildings</t>
        </is>
      </c>
      <c r="C8" s="7" t="inlineStr">
        <is>
          <t>tools</t>
        </is>
      </c>
      <c r="D8" s="29" t="n">
        <v>0.2</v>
      </c>
      <c r="E8" s="29">
        <f>D8*12</f>
        <v/>
      </c>
      <c r="F8" s="11" t="n">
        <v>1.5</v>
      </c>
      <c r="G8" s="29">
        <f>F8/12</f>
        <v/>
      </c>
      <c r="H8" s="7" t="n"/>
      <c r="I8" s="45" t="n"/>
    </row>
    <row r="9" ht="13.5" customHeight="1" s="46">
      <c r="A9" s="7" t="inlineStr">
        <is>
          <t>Clay Pit</t>
        </is>
      </c>
      <c r="B9" s="7" t="inlineStr">
        <is>
          <t>Simple buildings</t>
        </is>
      </c>
      <c r="C9" s="7" t="inlineStr">
        <is>
          <t>tools</t>
        </is>
      </c>
      <c r="D9" s="29" t="n">
        <v>0.05</v>
      </c>
      <c r="E9" s="29">
        <f>D9*12</f>
        <v/>
      </c>
      <c r="F9" s="11" t="n">
        <v>0.5</v>
      </c>
      <c r="G9" s="29">
        <f>F9/12</f>
        <v/>
      </c>
      <c r="H9" s="7" t="n"/>
      <c r="I9" s="45" t="n"/>
    </row>
    <row r="10" ht="13.5" customHeight="1" s="46">
      <c r="A10" s="7" t="inlineStr">
        <is>
          <t>Sand Pit</t>
        </is>
      </c>
      <c r="B10" s="7" t="inlineStr">
        <is>
          <t>Simple buildings</t>
        </is>
      </c>
      <c r="C10" s="7" t="inlineStr">
        <is>
          <t>tools</t>
        </is>
      </c>
      <c r="D10" s="29" t="n">
        <v>0.05</v>
      </c>
      <c r="E10" s="29">
        <f>D10*12</f>
        <v/>
      </c>
      <c r="F10" s="11" t="n">
        <v>0.5</v>
      </c>
      <c r="G10" s="29">
        <f>F10/12</f>
        <v/>
      </c>
      <c r="H10" s="7" t="n"/>
      <c r="I10" s="45" t="n"/>
    </row>
    <row r="11" ht="13.5" customHeight="1" s="46">
      <c r="A11" s="7" t="inlineStr">
        <is>
          <t>Farmstead</t>
        </is>
      </c>
      <c r="B11" s="7" t="inlineStr">
        <is>
          <t>Simple buildings</t>
        </is>
      </c>
      <c r="C11" s="7" t="inlineStr">
        <is>
          <t>tools</t>
        </is>
      </c>
      <c r="D11" s="29" t="n">
        <v>0.1</v>
      </c>
      <c r="E11" s="29">
        <f>D11*12</f>
        <v/>
      </c>
      <c r="F11" s="11" t="n">
        <v>1</v>
      </c>
      <c r="G11" s="29">
        <f>F11/12</f>
        <v/>
      </c>
      <c r="H11" s="7" t="n"/>
      <c r="I11" s="45" t="n"/>
    </row>
    <row r="12" ht="13.5" customHeight="1" s="46">
      <c r="A12" s="7" t="inlineStr">
        <is>
          <t>Orchard Keeper's Lodge</t>
        </is>
      </c>
      <c r="B12" s="7" t="inlineStr">
        <is>
          <t>Simple buildings</t>
        </is>
      </c>
      <c r="C12" s="7" t="inlineStr">
        <is>
          <t>tools</t>
        </is>
      </c>
      <c r="D12" s="29" t="n">
        <v>0.05</v>
      </c>
      <c r="E12" s="29">
        <f>D12*12</f>
        <v/>
      </c>
      <c r="F12" s="11" t="n">
        <v>0.5</v>
      </c>
      <c r="G12" s="29">
        <f>F12/12</f>
        <v/>
      </c>
      <c r="H12" s="7" t="n"/>
      <c r="I12" s="45" t="n"/>
    </row>
    <row r="13" ht="13.5" customHeight="1" s="46">
      <c r="A13" s="7" t="inlineStr">
        <is>
          <t>Sawpit</t>
        </is>
      </c>
      <c r="B13" s="7" t="inlineStr">
        <is>
          <t>Simple buildings</t>
        </is>
      </c>
      <c r="C13" s="7" t="inlineStr">
        <is>
          <t>tools</t>
        </is>
      </c>
      <c r="D13" s="29" t="n">
        <v>0.15</v>
      </c>
      <c r="E13" s="29">
        <f>D13*12</f>
        <v/>
      </c>
      <c r="F13" s="11" t="n">
        <v>1</v>
      </c>
      <c r="G13" s="29">
        <f>F13/12</f>
        <v/>
      </c>
      <c r="H13" s="7" t="n"/>
      <c r="I13" s="45" t="n"/>
    </row>
    <row r="14" ht="13.5" customHeight="1" s="46">
      <c r="A14" s="10" t="inlineStr">
        <is>
          <t>Village workshops</t>
        </is>
      </c>
      <c r="B14" s="10" t="n"/>
      <c r="C14" s="10" t="n"/>
      <c r="D14" s="10" t="n"/>
      <c r="E14" s="10" t="n"/>
      <c r="F14" s="10" t="n"/>
      <c r="G14" s="10" t="n"/>
      <c r="H14" s="10" t="n"/>
      <c r="I14" s="10" t="n"/>
    </row>
    <row r="15" ht="13.5" customHeight="1" s="46">
      <c r="A15" s="7" t="inlineStr">
        <is>
          <t>Windmill</t>
        </is>
      </c>
      <c r="B15" s="7" t="inlineStr">
        <is>
          <t>Village workshops</t>
        </is>
      </c>
      <c r="C15" s="7" t="inlineStr">
        <is>
          <t>wood parts</t>
        </is>
      </c>
      <c r="D15" s="29" t="n">
        <v>0.25</v>
      </c>
      <c r="E15" s="29">
        <f>D15*12</f>
        <v/>
      </c>
      <c r="F15" s="11" t="n">
        <v>3</v>
      </c>
      <c r="G15" s="29">
        <f>F15/12</f>
        <v/>
      </c>
      <c r="H15" s="7" t="n"/>
      <c r="I15" s="45" t="n"/>
    </row>
    <row r="16" ht="13.5" customHeight="1" s="46">
      <c r="A16" s="7" t="inlineStr">
        <is>
          <t>Watermill</t>
        </is>
      </c>
      <c r="B16" s="7" t="inlineStr">
        <is>
          <t>Village workshops</t>
        </is>
      </c>
      <c r="C16" s="7" t="inlineStr">
        <is>
          <t>wood parts</t>
        </is>
      </c>
      <c r="D16" s="29" t="n">
        <v>0.3</v>
      </c>
      <c r="E16" s="29">
        <f>D16*12</f>
        <v/>
      </c>
      <c r="F16" s="11" t="n">
        <v>6</v>
      </c>
      <c r="G16" s="29">
        <f>F16/12</f>
        <v/>
      </c>
      <c r="H16" s="7" t="n"/>
      <c r="I16" s="45" t="n"/>
    </row>
    <row r="17" ht="13.5" customHeight="1" s="46">
      <c r="A17" s="7" t="inlineStr">
        <is>
          <t>Brewhouse</t>
        </is>
      </c>
      <c r="B17" s="7" t="inlineStr">
        <is>
          <t>Village workshops</t>
        </is>
      </c>
      <c r="C17" s="7" t="inlineStr">
        <is>
          <t>wood parts</t>
        </is>
      </c>
      <c r="D17" s="29" t="n">
        <v>0.05</v>
      </c>
      <c r="E17" s="29">
        <f>D17*12</f>
        <v/>
      </c>
      <c r="F17" s="11" t="n">
        <v>1</v>
      </c>
      <c r="G17" s="29">
        <f>F17/12</f>
        <v/>
      </c>
      <c r="H17" s="7" t="n"/>
      <c r="I17" s="45" t="n"/>
    </row>
    <row r="18" ht="13.5" customHeight="1" s="46">
      <c r="A18" s="7" t="inlineStr">
        <is>
          <t>Weaver</t>
        </is>
      </c>
      <c r="B18" s="7" t="inlineStr">
        <is>
          <t>Village workshops</t>
        </is>
      </c>
      <c r="C18" s="7" t="inlineStr">
        <is>
          <t>wood parts</t>
        </is>
      </c>
      <c r="D18" s="29" t="n">
        <v>0.1</v>
      </c>
      <c r="E18" s="29">
        <f>D18*12</f>
        <v/>
      </c>
      <c r="F18" s="11" t="n">
        <v>1.5</v>
      </c>
      <c r="G18" s="29">
        <f>F18/12</f>
        <v/>
      </c>
      <c r="H18" s="7" t="n"/>
      <c r="I18" s="45" t="n"/>
    </row>
    <row r="19" ht="13.5" customHeight="1" s="46">
      <c r="A19" s="7" t="inlineStr">
        <is>
          <t>Dyer's Workshop</t>
        </is>
      </c>
      <c r="B19" s="7" t="inlineStr">
        <is>
          <t>Village workshops</t>
        </is>
      </c>
      <c r="C19" s="7" t="inlineStr">
        <is>
          <t>wood parts</t>
        </is>
      </c>
      <c r="D19" s="29" t="n">
        <v>0.05</v>
      </c>
      <c r="E19" s="29">
        <f>D19*12</f>
        <v/>
      </c>
      <c r="F19" s="11" t="n">
        <v>2</v>
      </c>
      <c r="G19" s="29">
        <f>F19/12</f>
        <v/>
      </c>
      <c r="H19" s="7" t="n"/>
      <c r="I19" s="45" t="n"/>
    </row>
    <row r="20" ht="13.5" customHeight="1" s="46">
      <c r="A20" s="7" t="inlineStr">
        <is>
          <t>Potter's Workshop</t>
        </is>
      </c>
      <c r="B20" s="7" t="inlineStr">
        <is>
          <t>Village workshops</t>
        </is>
      </c>
      <c r="C20" s="7" t="inlineStr">
        <is>
          <t>wood parts</t>
        </is>
      </c>
      <c r="D20" s="29" t="n">
        <v>0.1</v>
      </c>
      <c r="E20" s="29">
        <f>D20*12</f>
        <v/>
      </c>
      <c r="F20" s="11" t="n">
        <v>2</v>
      </c>
      <c r="G20" s="29">
        <f>F20/12</f>
        <v/>
      </c>
      <c r="H20" s="7" t="n"/>
      <c r="I20" s="45" t="n"/>
    </row>
    <row r="21" ht="13.5" customHeight="1" s="46">
      <c r="A21" s="7" t="inlineStr">
        <is>
          <t>Trading Post</t>
        </is>
      </c>
      <c r="B21" s="7" t="inlineStr">
        <is>
          <t>Village workshops</t>
        </is>
      </c>
      <c r="C21" s="7" t="inlineStr">
        <is>
          <t>wood parts</t>
        </is>
      </c>
      <c r="D21" s="29" t="n">
        <v>0.1</v>
      </c>
      <c r="E21" s="29">
        <f>D21*12</f>
        <v/>
      </c>
      <c r="F21" s="11" t="n">
        <v>0</v>
      </c>
      <c r="G21" s="29">
        <f>F21/12</f>
        <v/>
      </c>
      <c r="H21" s="7" t="inlineStr">
        <is>
          <t>No upkeep (your edit).</t>
        </is>
      </c>
      <c r="I21" s="45" t="n"/>
    </row>
    <row r="22" ht="13.5" customHeight="1" s="46">
      <c r="A22" s="7" t="inlineStr">
        <is>
          <t>Dock</t>
        </is>
      </c>
      <c r="B22" s="7" t="inlineStr">
        <is>
          <t>Village workshops</t>
        </is>
      </c>
      <c r="C22" s="7" t="inlineStr">
        <is>
          <t>wood parts</t>
        </is>
      </c>
      <c r="D22" s="29" t="n">
        <v>0.2</v>
      </c>
      <c r="E22" s="29">
        <f>D22*12</f>
        <v/>
      </c>
      <c r="F22" s="11" t="n">
        <v>3</v>
      </c>
      <c r="G22" s="29">
        <f>F22/12</f>
        <v/>
      </c>
      <c r="H22" s="7" t="n"/>
      <c r="I22" s="45" t="n"/>
    </row>
    <row r="23" ht="13.5" customHeight="1" s="46">
      <c r="A23" s="7" t="inlineStr">
        <is>
          <t>Winery</t>
        </is>
      </c>
      <c r="B23" s="7" t="inlineStr">
        <is>
          <t>Village workshops</t>
        </is>
      </c>
      <c r="C23" s="7" t="inlineStr">
        <is>
          <t>wood parts</t>
        </is>
      </c>
      <c r="D23" s="29" t="n">
        <v>0.15</v>
      </c>
      <c r="E23" s="29">
        <f>D23*12</f>
        <v/>
      </c>
      <c r="F23" s="11" t="n">
        <v>4</v>
      </c>
      <c r="G23" s="29">
        <f>F23/12</f>
        <v/>
      </c>
      <c r="H23" s="7" t="n"/>
      <c r="I23" s="45" t="n"/>
    </row>
    <row r="24" ht="13.5" customHeight="1" s="46">
      <c r="A24" s="10" t="inlineStr">
        <is>
          <t>Town workshops</t>
        </is>
      </c>
      <c r="B24" s="10" t="n"/>
      <c r="C24" s="10" t="n"/>
      <c r="D24" s="10" t="n"/>
      <c r="E24" s="10" t="n"/>
      <c r="F24" s="10" t="n"/>
      <c r="G24" s="10" t="n"/>
      <c r="H24" s="10" t="n"/>
      <c r="I24" s="10" t="n"/>
    </row>
    <row r="25" ht="13.5" customHeight="1" s="46">
      <c r="A25" s="7" t="inlineStr">
        <is>
          <t>Carpenter's Workshop</t>
        </is>
      </c>
      <c r="B25" s="7" t="inlineStr">
        <is>
          <t>Town workshops</t>
        </is>
      </c>
      <c r="C25" s="7" t="inlineStr">
        <is>
          <t>tools</t>
        </is>
      </c>
      <c r="D25" s="29" t="n">
        <v>0.1</v>
      </c>
      <c r="E25" s="29">
        <f>D25*12</f>
        <v/>
      </c>
      <c r="F25" s="11" t="n">
        <v>4</v>
      </c>
      <c r="G25" s="29">
        <f>F25/12</f>
        <v/>
      </c>
      <c r="H25" s="7" t="n"/>
      <c r="I25" s="45" t="n"/>
    </row>
    <row r="26" ht="13.5" customHeight="1" s="46">
      <c r="A26" s="7" t="inlineStr">
        <is>
          <t>Cooper's Workshop</t>
        </is>
      </c>
      <c r="B26" s="7" t="inlineStr">
        <is>
          <t>Town workshops</t>
        </is>
      </c>
      <c r="C26" s="7" t="inlineStr">
        <is>
          <t>tools</t>
        </is>
      </c>
      <c r="D26" s="29" t="n">
        <v>0.1</v>
      </c>
      <c r="E26" s="29">
        <f>D26*12</f>
        <v/>
      </c>
      <c r="F26" s="11" t="n">
        <v>8</v>
      </c>
      <c r="G26" s="29">
        <f>F26/12</f>
        <v/>
      </c>
      <c r="H26" s="7" t="n"/>
      <c r="I26" s="45" t="n"/>
    </row>
    <row r="27" ht="13.5" customHeight="1" s="46">
      <c r="A27" s="7" t="inlineStr">
        <is>
          <t>Stonemason's Yard</t>
        </is>
      </c>
      <c r="B27" s="7" t="inlineStr">
        <is>
          <t>Town workshops</t>
        </is>
      </c>
      <c r="C27" s="7" t="inlineStr">
        <is>
          <t>tools</t>
        </is>
      </c>
      <c r="D27" s="29" t="n">
        <v>0.2</v>
      </c>
      <c r="E27" s="29">
        <f>D27*12</f>
        <v/>
      </c>
      <c r="F27" s="11" t="n">
        <v>10</v>
      </c>
      <c r="G27" s="29">
        <f>F27/12</f>
        <v/>
      </c>
      <c r="H27" s="7" t="n"/>
      <c r="I27" s="45" t="n"/>
    </row>
    <row r="28" ht="13.5" customHeight="1" s="46">
      <c r="A28" s="7" t="inlineStr">
        <is>
          <t>Tile Kiln</t>
        </is>
      </c>
      <c r="B28" s="7" t="inlineStr">
        <is>
          <t>Town workshops</t>
        </is>
      </c>
      <c r="C28" s="7" t="inlineStr">
        <is>
          <t>tools</t>
        </is>
      </c>
      <c r="D28" s="29" t="n">
        <v>0.05</v>
      </c>
      <c r="E28" s="29">
        <f>D28*12</f>
        <v/>
      </c>
      <c r="F28" s="11" t="n">
        <v>2</v>
      </c>
      <c r="G28" s="29">
        <f>F28/12</f>
        <v/>
      </c>
      <c r="H28" s="7" t="n"/>
      <c r="I28" s="45" t="n"/>
    </row>
    <row r="29" ht="13.5" customHeight="1" s="46">
      <c r="A29" s="7" t="inlineStr">
        <is>
          <t>Lime Kiln</t>
        </is>
      </c>
      <c r="B29" s="7" t="inlineStr">
        <is>
          <t>Town workshops</t>
        </is>
      </c>
      <c r="C29" s="7" t="inlineStr">
        <is>
          <t>tools</t>
        </is>
      </c>
      <c r="D29" s="29" t="n">
        <v>0.05</v>
      </c>
      <c r="E29" s="29">
        <f>D29*12</f>
        <v/>
      </c>
      <c r="F29" s="11" t="n">
        <v>2</v>
      </c>
      <c r="G29" s="29">
        <f>F29/12</f>
        <v/>
      </c>
      <c r="H29" s="7" t="n"/>
      <c r="I29" s="45" t="n"/>
    </row>
    <row r="30" ht="13.5" customHeight="1" s="46">
      <c r="A30" s="7" t="inlineStr">
        <is>
          <t>Charcoal Burner</t>
        </is>
      </c>
      <c r="B30" s="7" t="inlineStr">
        <is>
          <t>Town workshops</t>
        </is>
      </c>
      <c r="C30" s="7" t="inlineStr">
        <is>
          <t>tools</t>
        </is>
      </c>
      <c r="D30" s="29" t="n">
        <v>0.05</v>
      </c>
      <c r="E30" s="29">
        <f>D30*12</f>
        <v/>
      </c>
      <c r="F30" s="11" t="n">
        <v>1</v>
      </c>
      <c r="G30" s="29">
        <f>F30/12</f>
        <v/>
      </c>
      <c r="H30" s="7" t="n"/>
      <c r="I30" s="45" t="n"/>
    </row>
    <row r="31" ht="13.5" customHeight="1" s="46">
      <c r="A31" s="7" t="inlineStr">
        <is>
          <t>Glassworks</t>
        </is>
      </c>
      <c r="B31" s="7" t="inlineStr">
        <is>
          <t>Town workshops</t>
        </is>
      </c>
      <c r="C31" s="7" t="inlineStr">
        <is>
          <t>tools</t>
        </is>
      </c>
      <c r="D31" s="29" t="n">
        <v>0.1</v>
      </c>
      <c r="E31" s="29">
        <f>D31*12</f>
        <v/>
      </c>
      <c r="F31" s="11" t="n">
        <v>9</v>
      </c>
      <c r="G31" s="29">
        <f>F31/12</f>
        <v/>
      </c>
      <c r="H31" s="7" t="n"/>
      <c r="I31" s="45" t="n"/>
    </row>
    <row r="32" ht="13.5" customHeight="1" s="46">
      <c r="A32" s="7" t="inlineStr">
        <is>
          <t>Bog Iron Pit</t>
        </is>
      </c>
      <c r="B32" s="7" t="inlineStr">
        <is>
          <t>Town workshops</t>
        </is>
      </c>
      <c r="C32" s="7" t="inlineStr">
        <is>
          <t>tools</t>
        </is>
      </c>
      <c r="D32" s="29" t="n">
        <v>0.25</v>
      </c>
      <c r="E32" s="29">
        <f>D32*12</f>
        <v/>
      </c>
      <c r="F32" s="11" t="n">
        <v>2</v>
      </c>
      <c r="G32" s="29">
        <f>F32/12</f>
        <v/>
      </c>
      <c r="H32" s="7" t="n"/>
      <c r="I32" s="45" t="n"/>
    </row>
    <row r="33" ht="13.5" customHeight="1" s="46">
      <c r="A33" s="7" t="inlineStr">
        <is>
          <t>Bloomery</t>
        </is>
      </c>
      <c r="B33" s="7" t="inlineStr">
        <is>
          <t>Town workshops</t>
        </is>
      </c>
      <c r="C33" s="7" t="inlineStr">
        <is>
          <t>tools</t>
        </is>
      </c>
      <c r="D33" s="29" t="n">
        <v>0.1</v>
      </c>
      <c r="E33" s="29">
        <f>D33*12</f>
        <v/>
      </c>
      <c r="F33" s="11" t="n">
        <v>5</v>
      </c>
      <c r="G33" s="29">
        <f>F33/12</f>
        <v/>
      </c>
      <c r="H33" s="7" t="n"/>
      <c r="I33" s="45" t="n"/>
    </row>
    <row r="34" ht="13.5" customHeight="1" s="46">
      <c r="A34" s="7" t="inlineStr">
        <is>
          <t>Blacksmith</t>
        </is>
      </c>
      <c r="B34" s="7" t="inlineStr">
        <is>
          <t>Town workshops</t>
        </is>
      </c>
      <c r="C34" s="7" t="inlineStr">
        <is>
          <t>tools</t>
        </is>
      </c>
      <c r="D34" s="29" t="n">
        <v>0.1</v>
      </c>
      <c r="E34" s="29">
        <f>D34*12</f>
        <v/>
      </c>
      <c r="F34" s="11" t="n">
        <v>6</v>
      </c>
      <c r="G34" s="29">
        <f>F34/12</f>
        <v/>
      </c>
      <c r="H34" s="7" t="n"/>
      <c r="I34" s="45" t="n"/>
    </row>
    <row r="35" ht="13.5" customHeight="1" s="46">
      <c r="A35" s="7" t="inlineStr">
        <is>
          <t>Armoury</t>
        </is>
      </c>
      <c r="B35" s="7" t="inlineStr">
        <is>
          <t>Town workshops</t>
        </is>
      </c>
      <c r="C35" s="7" t="inlineStr">
        <is>
          <t>tools</t>
        </is>
      </c>
      <c r="D35" s="29" t="n">
        <v>0.15</v>
      </c>
      <c r="E35" s="29">
        <f>D35*12</f>
        <v/>
      </c>
      <c r="F35" s="11" t="n">
        <v>6</v>
      </c>
      <c r="G35" s="29">
        <f>F35/12</f>
        <v/>
      </c>
      <c r="H35" s="7" t="inlineStr">
        <is>
          <t>Moves to the manor (step 5).</t>
        </is>
      </c>
      <c r="I35" s="45" t="n"/>
    </row>
    <row r="36" ht="13.5" customHeight="1" s="46">
      <c r="A36" s="7" t="inlineStr">
        <is>
          <t>Jeweller's Shop</t>
        </is>
      </c>
      <c r="B36" s="7" t="inlineStr">
        <is>
          <t>Town workshops</t>
        </is>
      </c>
      <c r="C36" s="7" t="inlineStr">
        <is>
          <t>tools</t>
        </is>
      </c>
      <c r="D36" s="29" t="n">
        <v>0.1</v>
      </c>
      <c r="E36" s="29">
        <f>D36*12</f>
        <v/>
      </c>
      <c r="F36" s="11" t="n">
        <v>10</v>
      </c>
      <c r="G36" s="29">
        <f>F36/12</f>
        <v/>
      </c>
      <c r="H36" s="7" t="n"/>
      <c r="I36" s="45" t="n"/>
    </row>
    <row r="37" ht="13.5" customHeight="1" s="46">
      <c r="A37" s="7" t="inlineStr">
        <is>
          <t>Tannery</t>
        </is>
      </c>
      <c r="B37" s="7" t="inlineStr">
        <is>
          <t>Town workshops</t>
        </is>
      </c>
      <c r="C37" s="7" t="inlineStr">
        <is>
          <t>tools</t>
        </is>
      </c>
      <c r="D37" s="29" t="n">
        <v>0.05</v>
      </c>
      <c r="E37" s="29">
        <f>D37*12</f>
        <v/>
      </c>
      <c r="F37" s="11" t="n">
        <v>1</v>
      </c>
      <c r="G37" s="29">
        <f>F37/12</f>
        <v/>
      </c>
      <c r="H37" s="7" t="n"/>
      <c r="I37" s="45" t="n"/>
    </row>
    <row r="38" ht="13.5" customHeight="1" s="46">
      <c r="A38" s="7" t="inlineStr">
        <is>
          <t>Tailor &amp; Cobbler</t>
        </is>
      </c>
      <c r="B38" s="7" t="inlineStr">
        <is>
          <t>Town workshops</t>
        </is>
      </c>
      <c r="C38" s="7" t="inlineStr">
        <is>
          <t>tools</t>
        </is>
      </c>
      <c r="D38" s="29" t="n">
        <v>0.05</v>
      </c>
      <c r="E38" s="29">
        <f>D38*12</f>
        <v/>
      </c>
      <c r="F38" s="11" t="n">
        <v>3</v>
      </c>
      <c r="G38" s="29">
        <f>F38/12</f>
        <v/>
      </c>
      <c r="H38" s="7" t="n"/>
      <c r="I38" s="45" t="n"/>
    </row>
    <row r="39" ht="27.75" customHeight="1" s="46">
      <c r="A39" s="7" t="inlineStr">
        <is>
          <t>Builder's Yard (its ox cart)</t>
        </is>
      </c>
      <c r="B39" s="7" t="inlineStr">
        <is>
          <t>Civic</t>
        </is>
      </c>
      <c r="C39" s="7" t="inlineStr">
        <is>
          <t>wood parts</t>
        </is>
      </c>
      <c r="D39" s="29" t="n">
        <v>1</v>
      </c>
      <c r="E39" s="29">
        <f>D39*12</f>
        <v/>
      </c>
      <c r="F39" s="11" t="n">
        <v>8</v>
      </c>
      <c r="G39" s="29">
        <f>F39/12</f>
        <v/>
      </c>
      <c r="H39" s="7" t="inlineStr">
        <is>
          <t>A wood part every three months instead of every month.</t>
        </is>
      </c>
      <c r="I39" s="45" t="n"/>
    </row>
    <row r="40" ht="14.25" customHeight="1" s="46">
      <c r="A40" s="2" t="n"/>
      <c r="B40" s="2" t="n"/>
      <c r="C40" s="2" t="n"/>
      <c r="D40" s="2" t="n"/>
      <c r="E40" s="2" t="n"/>
      <c r="F40" s="2" t="n"/>
      <c r="G40" s="2" t="n"/>
      <c r="H40" s="2" t="n"/>
      <c r="I40" s="2" t="n"/>
    </row>
    <row r="41" ht="15" customHeight="1" s="46">
      <c r="A41" s="4" t="inlineStr">
        <is>
          <t>Settlers' tools: two years of a regular set of simple buildings</t>
        </is>
      </c>
      <c r="B41" s="2" t="n"/>
      <c r="C41" s="2" t="n"/>
      <c r="D41" s="2" t="n"/>
      <c r="E41" s="2" t="n"/>
      <c r="F41" s="2" t="n"/>
      <c r="G41" s="2" t="n"/>
      <c r="H41" s="2" t="n"/>
      <c r="I41" s="2" t="n"/>
    </row>
    <row r="42" ht="15" customHeight="1" s="46">
      <c r="A42" s="8" t="inlineStr">
        <is>
          <t>Woodcutter</t>
        </is>
      </c>
      <c r="B42" s="32" t="n">
        <v>2</v>
      </c>
      <c r="C42" s="8">
        <f>B42*SUMIF($A$5:$A$39,"Woodcutter's Lodge",$F$5:$F$39)*2</f>
        <v/>
      </c>
      <c r="D42" s="2" t="n"/>
      <c r="E42" s="2" t="n"/>
      <c r="F42" s="2" t="n"/>
      <c r="G42" s="2" t="n"/>
      <c r="H42" s="2" t="n"/>
      <c r="I42" s="2" t="n"/>
    </row>
    <row r="43" ht="15" customHeight="1" s="46">
      <c r="A43" s="8" t="inlineStr">
        <is>
          <t>Stone Quarry</t>
        </is>
      </c>
      <c r="B43" s="32" t="n">
        <v>1</v>
      </c>
      <c r="C43" s="8">
        <f>B43*SUMIF($A$5:$A$39,"Stone Quarry",$F$5:$F$39)*2</f>
        <v/>
      </c>
      <c r="D43" s="2" t="n"/>
      <c r="E43" s="2" t="n"/>
      <c r="F43" s="2" t="n"/>
      <c r="G43" s="2" t="n"/>
      <c r="H43" s="2" t="n"/>
      <c r="I43" s="2" t="n"/>
    </row>
    <row r="44" ht="15" customHeight="1" s="46">
      <c r="A44" s="8" t="inlineStr">
        <is>
          <t>Sawpit</t>
        </is>
      </c>
      <c r="B44" s="32" t="n">
        <v>1</v>
      </c>
      <c r="C44" s="8">
        <f>B44*SUMIF($A$5:$A$39,"Sawpit",$F$5:$F$39)*2</f>
        <v/>
      </c>
      <c r="D44" s="2" t="n"/>
      <c r="E44" s="2" t="n"/>
      <c r="F44" s="2" t="n"/>
      <c r="G44" s="2" t="n"/>
      <c r="H44" s="2" t="n"/>
      <c r="I44" s="2" t="n"/>
    </row>
    <row r="45" ht="15" customHeight="1" s="46">
      <c r="A45" s="8" t="inlineStr">
        <is>
          <t>Farmstead</t>
        </is>
      </c>
      <c r="B45" s="32" t="n">
        <v>1</v>
      </c>
      <c r="C45" s="8">
        <f>B45*SUMIF($A$5:$A$39,"Farmstead",$F$5:$F$39)*2</f>
        <v/>
      </c>
      <c r="D45" s="2" t="n"/>
      <c r="E45" s="2" t="n"/>
      <c r="F45" s="2" t="n"/>
      <c r="G45" s="2" t="n"/>
      <c r="H45" s="2" t="n"/>
      <c r="I45" s="2" t="n"/>
    </row>
    <row r="46" ht="15" customHeight="1" s="46">
      <c r="A46" s="8" t="inlineStr">
        <is>
          <t>Forester's Hut</t>
        </is>
      </c>
      <c r="B46" s="32" t="n">
        <v>0</v>
      </c>
      <c r="C46" s="8">
        <f>B46*SUMIF($A$5:$A$39,"Forester's Hut",$F$5:$F$39)*2</f>
        <v/>
      </c>
      <c r="D46" s="2" t="n"/>
      <c r="E46" s="2" t="n"/>
      <c r="F46" s="2" t="n"/>
      <c r="G46" s="2" t="n"/>
      <c r="H46" s="2" t="n"/>
      <c r="I46" s="2" t="n"/>
    </row>
    <row r="47" ht="15" customHeight="1" s="46">
      <c r="A47" s="4" t="inlineStr">
        <is>
          <t>Tools to bring (two years)</t>
        </is>
      </c>
      <c r="B47" s="2" t="n"/>
      <c r="C47" s="4">
        <f>ROUNDUP(SUM(C42:C46),0)</f>
        <v/>
      </c>
      <c r="D47" s="2" t="n"/>
      <c r="E47" s="2" t="n"/>
      <c r="F47" s="2" t="n"/>
      <c r="G47" s="2" t="n"/>
      <c r="H47" s="2" t="n"/>
      <c r="I47" s="2" t="n"/>
    </row>
    <row r="48" ht="15" customHeight="1" s="46">
      <c r="A48" s="3" t="inlineStr">
        <is>
          <t>Today the settlers bring 6 tools and 2 wood parts.</t>
        </is>
      </c>
      <c r="B48" s="2" t="n"/>
      <c r="C48" s="2" t="n"/>
      <c r="D48" s="2" t="n"/>
      <c r="E48" s="2" t="n"/>
      <c r="F48" s="2" t="n"/>
      <c r="G48" s="2" t="n"/>
      <c r="H48" s="2" t="n"/>
      <c r="I48" s="2" t="n"/>
    </row>
    <row r="49" ht="14.25" customHeight="1" s="46">
      <c r="A49" s="2" t="n"/>
      <c r="B49" s="2" t="n"/>
      <c r="C49" s="2" t="n"/>
      <c r="D49" s="2" t="n"/>
      <c r="E49" s="2" t="n"/>
      <c r="F49" s="2" t="n"/>
      <c r="G49" s="2" t="n"/>
      <c r="H49" s="2" t="n"/>
      <c r="I49" s="2" t="n"/>
    </row>
    <row r="50" ht="14.25" customHeight="1" s="46">
      <c r="A50" s="2" t="n"/>
      <c r="B50" s="2" t="n"/>
      <c r="C50" s="2" t="n"/>
      <c r="D50" s="2" t="n"/>
      <c r="E50" s="2" t="n"/>
      <c r="F50" s="2" t="n"/>
      <c r="G50" s="2" t="n"/>
      <c r="H50" s="2" t="n"/>
      <c r="I50" s="2" t="n"/>
    </row>
    <row r="51" ht="14.25" customHeight="1" s="46">
      <c r="A51" s="2" t="n"/>
      <c r="B51" s="2" t="n"/>
      <c r="C51" s="2" t="n"/>
      <c r="D51" s="2" t="n"/>
      <c r="E51" s="2" t="n"/>
      <c r="F51" s="2" t="n"/>
      <c r="G51" s="2" t="n"/>
      <c r="H51" s="2" t="n"/>
      <c r="I51" s="2" t="n"/>
    </row>
    <row r="52" ht="14.25" customHeight="1" s="46">
      <c r="A52" s="2" t="n"/>
      <c r="B52" s="2" t="n"/>
      <c r="C52" s="2" t="n"/>
      <c r="D52" s="2" t="n"/>
      <c r="E52" s="2" t="n"/>
      <c r="F52" s="2" t="n"/>
      <c r="G52" s="2" t="n"/>
      <c r="H52" s="2" t="n"/>
      <c r="I52" s="2" t="n"/>
    </row>
    <row r="53" ht="14.25" customHeight="1" s="46">
      <c r="A53" s="2" t="n"/>
      <c r="B53" s="2" t="n"/>
      <c r="C53" s="2" t="n"/>
      <c r="D53" s="2" t="n"/>
      <c r="E53" s="2" t="n"/>
      <c r="F53" s="2" t="n"/>
      <c r="G53" s="2" t="n"/>
      <c r="H53" s="2" t="n"/>
      <c r="I53" s="2" t="n"/>
    </row>
    <row r="54" ht="14.25" customHeight="1" s="46">
      <c r="A54" s="2" t="n"/>
      <c r="B54" s="2" t="n"/>
      <c r="C54" s="2" t="n"/>
      <c r="D54" s="2" t="n"/>
      <c r="E54" s="2" t="n"/>
      <c r="F54" s="2" t="n"/>
      <c r="G54" s="2" t="n"/>
      <c r="H54" s="2" t="n"/>
      <c r="I54" s="2" t="n"/>
    </row>
    <row r="55" ht="14.25" customHeight="1" s="46">
      <c r="A55" s="2" t="n"/>
      <c r="B55" s="2" t="n"/>
      <c r="C55" s="2" t="n"/>
      <c r="D55" s="2" t="n"/>
      <c r="E55" s="2" t="n"/>
      <c r="F55" s="2" t="n"/>
      <c r="G55" s="2" t="n"/>
      <c r="H55" s="2" t="n"/>
      <c r="I55" s="2" t="n"/>
    </row>
    <row r="56" ht="14.25" customHeight="1" s="46">
      <c r="A56" s="2" t="n"/>
      <c r="B56" s="2" t="n"/>
      <c r="C56" s="2" t="n"/>
      <c r="D56" s="2" t="n"/>
      <c r="E56" s="2" t="n"/>
      <c r="F56" s="2" t="n"/>
      <c r="G56" s="2" t="n"/>
      <c r="H56" s="2" t="n"/>
      <c r="I56" s="2" t="n"/>
    </row>
    <row r="57" ht="14.25" customHeight="1" s="46">
      <c r="A57" s="2" t="n"/>
      <c r="B57" s="2" t="n"/>
      <c r="C57" s="2" t="n"/>
      <c r="D57" s="2" t="n"/>
      <c r="E57" s="2" t="n"/>
      <c r="F57" s="2" t="n"/>
      <c r="G57" s="2" t="n"/>
      <c r="H57" s="2" t="n"/>
      <c r="I57" s="2" t="n"/>
    </row>
    <row r="58" ht="14.25" customHeight="1" s="46">
      <c r="A58" s="2" t="n"/>
      <c r="B58" s="2" t="n"/>
      <c r="C58" s="2" t="n"/>
      <c r="D58" s="2" t="n"/>
      <c r="E58" s="2" t="n"/>
      <c r="F58" s="2" t="n"/>
      <c r="G58" s="2" t="n"/>
      <c r="H58" s="2" t="n"/>
      <c r="I58" s="2" t="n"/>
    </row>
    <row r="59" ht="14.25" customHeight="1" s="46">
      <c r="A59" s="2" t="n"/>
      <c r="B59" s="2" t="n"/>
      <c r="C59" s="2" t="n"/>
      <c r="D59" s="2" t="n"/>
      <c r="E59" s="2" t="n"/>
      <c r="F59" s="2" t="n"/>
      <c r="G59" s="2" t="n"/>
      <c r="H59" s="2" t="n"/>
      <c r="I59" s="2" t="n"/>
    </row>
    <row r="60" ht="14.25" customHeight="1" s="46">
      <c r="A60" s="2" t="n"/>
      <c r="B60" s="2" t="n"/>
      <c r="C60" s="2" t="n"/>
      <c r="D60" s="2" t="n"/>
      <c r="E60" s="2" t="n"/>
      <c r="F60" s="2" t="n"/>
      <c r="G60" s="2" t="n"/>
      <c r="H60" s="2" t="n"/>
      <c r="I60" s="2" t="n"/>
    </row>
    <row r="61" ht="14.25" customHeight="1" s="46">
      <c r="A61" s="2" t="n"/>
      <c r="B61" s="2" t="n"/>
      <c r="C61" s="2" t="n"/>
      <c r="D61" s="2" t="n"/>
      <c r="E61" s="2" t="n"/>
      <c r="F61" s="2" t="n"/>
      <c r="G61" s="2" t="n"/>
      <c r="H61" s="2" t="n"/>
      <c r="I61" s="2" t="n"/>
    </row>
    <row r="62" ht="14.25" customHeight="1" s="46">
      <c r="A62" s="2" t="n"/>
      <c r="B62" s="2" t="n"/>
      <c r="C62" s="2" t="n"/>
      <c r="D62" s="2" t="n"/>
      <c r="E62" s="2" t="n"/>
      <c r="F62" s="2" t="n"/>
      <c r="G62" s="2" t="n"/>
      <c r="H62" s="2" t="n"/>
      <c r="I62" s="2" t="n"/>
    </row>
    <row r="63" ht="14.25" customHeight="1" s="46">
      <c r="A63" s="2" t="n"/>
      <c r="B63" s="2" t="n"/>
      <c r="C63" s="2" t="n"/>
      <c r="D63" s="2" t="n"/>
      <c r="E63" s="2" t="n"/>
      <c r="F63" s="2" t="n"/>
      <c r="G63" s="2" t="n"/>
      <c r="H63" s="2" t="n"/>
      <c r="I63" s="2" t="n"/>
    </row>
    <row r="64" ht="14.25" customHeight="1" s="46">
      <c r="A64" s="2" t="n"/>
      <c r="B64" s="2" t="n"/>
      <c r="C64" s="2" t="n"/>
      <c r="D64" s="2" t="n"/>
      <c r="E64" s="2" t="n"/>
      <c r="F64" s="2" t="n"/>
      <c r="G64" s="2" t="n"/>
      <c r="H64" s="2" t="n"/>
      <c r="I64" s="2" t="n"/>
    </row>
    <row r="65" ht="14.25" customHeight="1" s="46">
      <c r="A65" s="2" t="n"/>
      <c r="B65" s="2" t="n"/>
      <c r="C65" s="2" t="n"/>
      <c r="D65" s="2" t="n"/>
      <c r="E65" s="2" t="n"/>
      <c r="F65" s="2" t="n"/>
      <c r="G65" s="2" t="n"/>
      <c r="H65" s="2" t="n"/>
      <c r="I65" s="2" t="n"/>
    </row>
    <row r="66" ht="14.25" customHeight="1" s="46">
      <c r="A66" s="2" t="n"/>
      <c r="B66" s="2" t="n"/>
      <c r="C66" s="2" t="n"/>
      <c r="D66" s="2" t="n"/>
      <c r="E66" s="2" t="n"/>
      <c r="F66" s="2" t="n"/>
      <c r="G66" s="2" t="n"/>
      <c r="H66" s="2" t="n"/>
      <c r="I66" s="2" t="n"/>
    </row>
    <row r="67" ht="14.25" customHeight="1" s="46">
      <c r="A67" s="2" t="n"/>
      <c r="B67" s="2" t="n"/>
      <c r="C67" s="2" t="n"/>
      <c r="D67" s="2" t="n"/>
      <c r="E67" s="2" t="n"/>
      <c r="F67" s="2" t="n"/>
      <c r="G67" s="2" t="n"/>
      <c r="H67" s="2" t="n"/>
      <c r="I67" s="2" t="n"/>
    </row>
    <row r="68" ht="14.25" customHeight="1" s="46">
      <c r="A68" s="2" t="n"/>
      <c r="B68" s="2" t="n"/>
      <c r="C68" s="2" t="n"/>
      <c r="D68" s="2" t="n"/>
      <c r="E68" s="2" t="n"/>
      <c r="F68" s="2" t="n"/>
      <c r="G68" s="2" t="n"/>
      <c r="H68" s="2" t="n"/>
      <c r="I68" s="2" t="n"/>
    </row>
    <row r="69" ht="14.25" customHeight="1" s="46">
      <c r="A69" s="2" t="n"/>
      <c r="B69" s="2" t="n"/>
      <c r="C69" s="2" t="n"/>
      <c r="D69" s="2" t="n"/>
      <c r="E69" s="2" t="n"/>
      <c r="F69" s="2" t="n"/>
      <c r="G69" s="2" t="n"/>
      <c r="H69" s="2" t="n"/>
      <c r="I69" s="2" t="n"/>
    </row>
    <row r="70" ht="14.25" customHeight="1" s="46">
      <c r="A70" s="2" t="n"/>
      <c r="B70" s="2" t="n"/>
      <c r="C70" s="2" t="n"/>
      <c r="D70" s="2" t="n"/>
      <c r="E70" s="2" t="n"/>
      <c r="F70" s="2" t="n"/>
      <c r="G70" s="2" t="n"/>
      <c r="H70" s="2" t="n"/>
      <c r="I70" s="2" t="n"/>
    </row>
    <row r="71" ht="14.25" customHeight="1" s="46">
      <c r="A71" s="2" t="n"/>
      <c r="B71" s="2" t="n"/>
      <c r="C71" s="2" t="n"/>
      <c r="D71" s="2" t="n"/>
      <c r="E71" s="2" t="n"/>
      <c r="F71" s="2" t="n"/>
      <c r="G71" s="2" t="n"/>
      <c r="H71" s="2" t="n"/>
      <c r="I71" s="2" t="n"/>
    </row>
    <row r="72" ht="14.25" customHeight="1" s="46">
      <c r="A72" s="2" t="n"/>
      <c r="B72" s="2" t="n"/>
      <c r="C72" s="2" t="n"/>
      <c r="D72" s="2" t="n"/>
      <c r="E72" s="2" t="n"/>
      <c r="F72" s="2" t="n"/>
      <c r="G72" s="2" t="n"/>
      <c r="H72" s="2" t="n"/>
      <c r="I72" s="2" t="n"/>
    </row>
    <row r="73" ht="14.25" customHeight="1" s="46">
      <c r="A73" s="2" t="n"/>
      <c r="B73" s="2" t="n"/>
      <c r="C73" s="2" t="n"/>
      <c r="D73" s="2" t="n"/>
      <c r="E73" s="2" t="n"/>
      <c r="F73" s="2" t="n"/>
      <c r="G73" s="2" t="n"/>
      <c r="H73" s="2" t="n"/>
      <c r="I73" s="2" t="n"/>
    </row>
    <row r="74" ht="14.25" customHeight="1" s="46">
      <c r="A74" s="2" t="n"/>
      <c r="B74" s="2" t="n"/>
      <c r="C74" s="2" t="n"/>
      <c r="D74" s="2" t="n"/>
      <c r="E74" s="2" t="n"/>
      <c r="F74" s="2" t="n"/>
      <c r="G74" s="2" t="n"/>
      <c r="H74" s="2" t="n"/>
      <c r="I74" s="2" t="n"/>
    </row>
    <row r="75" ht="14.25" customHeight="1" s="46">
      <c r="A75" s="2" t="n"/>
      <c r="B75" s="2" t="n"/>
      <c r="C75" s="2" t="n"/>
      <c r="D75" s="2" t="n"/>
      <c r="E75" s="2" t="n"/>
      <c r="F75" s="2" t="n"/>
      <c r="G75" s="2" t="n"/>
      <c r="H75" s="2" t="n"/>
      <c r="I75" s="2" t="n"/>
    </row>
    <row r="76" ht="14.25" customHeight="1" s="46">
      <c r="A76" s="2" t="n"/>
      <c r="B76" s="2" t="n"/>
      <c r="C76" s="2" t="n"/>
      <c r="D76" s="2" t="n"/>
      <c r="E76" s="2" t="n"/>
      <c r="F76" s="2" t="n"/>
      <c r="G76" s="2" t="n"/>
      <c r="H76" s="2" t="n"/>
      <c r="I76" s="2" t="n"/>
    </row>
    <row r="77" ht="14.25" customHeight="1" s="46">
      <c r="A77" s="2" t="n"/>
      <c r="B77" s="2" t="n"/>
      <c r="C77" s="2" t="n"/>
      <c r="D77" s="2" t="n"/>
      <c r="E77" s="2" t="n"/>
      <c r="F77" s="2" t="n"/>
      <c r="G77" s="2" t="n"/>
      <c r="H77" s="2" t="n"/>
      <c r="I77" s="2" t="n"/>
    </row>
    <row r="78" ht="14.25" customHeight="1" s="46">
      <c r="A78" s="2" t="n"/>
      <c r="B78" s="2" t="n"/>
      <c r="C78" s="2" t="n"/>
      <c r="D78" s="2" t="n"/>
      <c r="E78" s="2" t="n"/>
      <c r="F78" s="2" t="n"/>
      <c r="G78" s="2" t="n"/>
      <c r="H78" s="2" t="n"/>
      <c r="I78" s="2" t="n"/>
    </row>
    <row r="79" ht="14.25" customHeight="1" s="46">
      <c r="A79" s="2" t="n"/>
      <c r="B79" s="2" t="n"/>
      <c r="C79" s="2" t="n"/>
      <c r="D79" s="2" t="n"/>
      <c r="E79" s="2" t="n"/>
      <c r="F79" s="2" t="n"/>
      <c r="G79" s="2" t="n"/>
      <c r="H79" s="2" t="n"/>
      <c r="I79" s="2" t="n"/>
    </row>
    <row r="80" ht="14.25" customHeight="1" s="46">
      <c r="A80" s="2" t="n"/>
      <c r="B80" s="2" t="n"/>
      <c r="C80" s="2" t="n"/>
      <c r="D80" s="2" t="n"/>
      <c r="E80" s="2" t="n"/>
      <c r="F80" s="2" t="n"/>
      <c r="G80" s="2" t="n"/>
      <c r="H80" s="2" t="n"/>
      <c r="I80" s="2" t="n"/>
    </row>
    <row r="81" ht="14.25" customHeight="1" s="46">
      <c r="A81" s="2" t="n"/>
      <c r="B81" s="2" t="n"/>
      <c r="C81" s="2" t="n"/>
      <c r="D81" s="2" t="n"/>
      <c r="E81" s="2" t="n"/>
      <c r="F81" s="2" t="n"/>
      <c r="G81" s="2" t="n"/>
      <c r="H81" s="2" t="n"/>
      <c r="I81" s="2" t="n"/>
    </row>
    <row r="82" ht="14.25" customHeight="1" s="46">
      <c r="A82" s="2" t="n"/>
      <c r="B82" s="2" t="n"/>
      <c r="C82" s="2" t="n"/>
      <c r="D82" s="2" t="n"/>
      <c r="E82" s="2" t="n"/>
      <c r="F82" s="2" t="n"/>
      <c r="G82" s="2" t="n"/>
      <c r="H82" s="2" t="n"/>
      <c r="I82" s="2" t="n"/>
    </row>
    <row r="83" ht="14.25" customHeight="1" s="46">
      <c r="A83" s="2" t="n"/>
      <c r="B83" s="2" t="n"/>
      <c r="C83" s="2" t="n"/>
      <c r="D83" s="2" t="n"/>
      <c r="E83" s="2" t="n"/>
      <c r="F83" s="2" t="n"/>
      <c r="G83" s="2" t="n"/>
      <c r="H83" s="2" t="n"/>
      <c r="I83" s="2" t="n"/>
    </row>
    <row r="84" ht="14.25" customHeight="1" s="46">
      <c r="A84" s="2" t="n"/>
      <c r="B84" s="2" t="n"/>
      <c r="C84" s="2" t="n"/>
      <c r="D84" s="2" t="n"/>
      <c r="E84" s="2" t="n"/>
      <c r="F84" s="2" t="n"/>
      <c r="G84" s="2" t="n"/>
      <c r="H84" s="2" t="n"/>
      <c r="I84" s="2" t="n"/>
    </row>
    <row r="85" ht="14.25" customHeight="1" s="46">
      <c r="A85" s="2" t="n"/>
      <c r="B85" s="2" t="n"/>
      <c r="C85" s="2" t="n"/>
      <c r="D85" s="2" t="n"/>
      <c r="E85" s="2" t="n"/>
      <c r="F85" s="2" t="n"/>
      <c r="G85" s="2" t="n"/>
      <c r="H85" s="2" t="n"/>
      <c r="I85" s="2" t="n"/>
    </row>
    <row r="86" ht="14.25" customHeight="1" s="46">
      <c r="A86" s="2" t="n"/>
      <c r="B86" s="2" t="n"/>
      <c r="C86" s="2" t="n"/>
      <c r="D86" s="2" t="n"/>
      <c r="E86" s="2" t="n"/>
      <c r="F86" s="2" t="n"/>
      <c r="G86" s="2" t="n"/>
      <c r="H86" s="2" t="n"/>
      <c r="I86" s="2" t="n"/>
    </row>
    <row r="87" ht="14.25" customHeight="1" s="46">
      <c r="A87" s="2" t="n"/>
      <c r="B87" s="2" t="n"/>
      <c r="C87" s="2" t="n"/>
      <c r="D87" s="2" t="n"/>
      <c r="E87" s="2" t="n"/>
      <c r="F87" s="2" t="n"/>
      <c r="G87" s="2" t="n"/>
      <c r="H87" s="2" t="n"/>
      <c r="I87" s="2" t="n"/>
    </row>
    <row r="88" ht="14.25" customHeight="1" s="46">
      <c r="A88" s="2" t="n"/>
      <c r="B88" s="2" t="n"/>
      <c r="C88" s="2" t="n"/>
      <c r="D88" s="2" t="n"/>
      <c r="E88" s="2" t="n"/>
      <c r="F88" s="2" t="n"/>
      <c r="G88" s="2" t="n"/>
      <c r="H88" s="2" t="n"/>
      <c r="I88" s="2" t="n"/>
    </row>
    <row r="89" ht="14.25" customHeight="1" s="46">
      <c r="A89" s="2" t="n"/>
      <c r="B89" s="2" t="n"/>
      <c r="C89" s="2" t="n"/>
      <c r="D89" s="2" t="n"/>
      <c r="E89" s="2" t="n"/>
      <c r="F89" s="2" t="n"/>
      <c r="G89" s="2" t="n"/>
      <c r="H89" s="2" t="n"/>
      <c r="I89" s="2" t="n"/>
    </row>
    <row r="90" ht="14.25" customHeight="1" s="46">
      <c r="A90" s="2" t="n"/>
      <c r="B90" s="2" t="n"/>
      <c r="C90" s="2" t="n"/>
      <c r="D90" s="2" t="n"/>
      <c r="E90" s="2" t="n"/>
      <c r="F90" s="2" t="n"/>
      <c r="G90" s="2" t="n"/>
      <c r="H90" s="2" t="n"/>
      <c r="I90" s="2" t="n"/>
    </row>
    <row r="91" ht="14.25" customHeight="1" s="46">
      <c r="A91" s="2" t="n"/>
      <c r="B91" s="2" t="n"/>
      <c r="C91" s="2" t="n"/>
      <c r="D91" s="2" t="n"/>
      <c r="E91" s="2" t="n"/>
      <c r="F91" s="2" t="n"/>
      <c r="G91" s="2" t="n"/>
      <c r="H91" s="2" t="n"/>
      <c r="I91" s="2" t="n"/>
    </row>
    <row r="92" ht="14.25" customHeight="1" s="46">
      <c r="A92" s="2" t="n"/>
      <c r="B92" s="2" t="n"/>
      <c r="C92" s="2" t="n"/>
      <c r="D92" s="2" t="n"/>
      <c r="E92" s="2" t="n"/>
      <c r="F92" s="2" t="n"/>
      <c r="G92" s="2" t="n"/>
      <c r="H92" s="2" t="n"/>
      <c r="I92" s="2" t="n"/>
    </row>
    <row r="93" ht="14.25" customHeight="1" s="46">
      <c r="A93" s="2" t="n"/>
      <c r="B93" s="2" t="n"/>
      <c r="C93" s="2" t="n"/>
      <c r="D93" s="2" t="n"/>
      <c r="E93" s="2" t="n"/>
      <c r="F93" s="2" t="n"/>
      <c r="G93" s="2" t="n"/>
      <c r="H93" s="2" t="n"/>
      <c r="I93" s="2" t="n"/>
    </row>
    <row r="94" ht="14.25" customHeight="1" s="46">
      <c r="A94" s="2" t="n"/>
      <c r="B94" s="2" t="n"/>
      <c r="C94" s="2" t="n"/>
      <c r="D94" s="2" t="n"/>
      <c r="E94" s="2" t="n"/>
      <c r="F94" s="2" t="n"/>
      <c r="G94" s="2" t="n"/>
      <c r="H94" s="2" t="n"/>
      <c r="I94" s="2" t="n"/>
    </row>
    <row r="95" ht="14.25" customHeight="1" s="46">
      <c r="A95" s="2" t="n"/>
      <c r="B95" s="2" t="n"/>
      <c r="C95" s="2" t="n"/>
      <c r="D95" s="2" t="n"/>
      <c r="E95" s="2" t="n"/>
      <c r="F95" s="2" t="n"/>
      <c r="G95" s="2" t="n"/>
      <c r="H95" s="2" t="n"/>
      <c r="I95" s="2" t="n"/>
    </row>
    <row r="96" ht="14.25" customHeight="1" s="46">
      <c r="A96" s="2" t="n"/>
      <c r="B96" s="2" t="n"/>
      <c r="C96" s="2" t="n"/>
      <c r="D96" s="2" t="n"/>
      <c r="E96" s="2" t="n"/>
      <c r="F96" s="2" t="n"/>
      <c r="G96" s="2" t="n"/>
      <c r="H96" s="2" t="n"/>
      <c r="I96" s="2" t="n"/>
    </row>
    <row r="97" ht="14.25" customHeight="1" s="46">
      <c r="A97" s="2" t="n"/>
      <c r="B97" s="2" t="n"/>
      <c r="C97" s="2" t="n"/>
      <c r="D97" s="2" t="n"/>
      <c r="E97" s="2" t="n"/>
      <c r="F97" s="2" t="n"/>
      <c r="G97" s="2" t="n"/>
      <c r="H97" s="2" t="n"/>
      <c r="I97" s="2" t="n"/>
    </row>
    <row r="98" ht="14.25" customHeight="1" s="46">
      <c r="A98" s="2" t="n"/>
      <c r="B98" s="2" t="n"/>
      <c r="C98" s="2" t="n"/>
      <c r="D98" s="2" t="n"/>
      <c r="E98" s="2" t="n"/>
      <c r="F98" s="2" t="n"/>
      <c r="G98" s="2" t="n"/>
      <c r="H98" s="2" t="n"/>
      <c r="I98" s="2" t="n"/>
    </row>
    <row r="99" ht="14.25" customHeight="1" s="46">
      <c r="A99" s="2" t="n"/>
      <c r="B99" s="2" t="n"/>
      <c r="C99" s="2" t="n"/>
      <c r="D99" s="2" t="n"/>
      <c r="E99" s="2" t="n"/>
      <c r="F99" s="2" t="n"/>
      <c r="G99" s="2" t="n"/>
      <c r="H99" s="2" t="n"/>
      <c r="I99" s="2" t="n"/>
    </row>
    <row r="100" ht="14.25" customHeight="1" s="46">
      <c r="A100" s="2" t="n"/>
      <c r="B100" s="2" t="n"/>
      <c r="C100" s="2" t="n"/>
      <c r="D100" s="2" t="n"/>
      <c r="E100" s="2" t="n"/>
      <c r="F100" s="2" t="n"/>
      <c r="G100" s="2" t="n"/>
      <c r="H100" s="2" t="n"/>
      <c r="I100" s="2" t="n"/>
    </row>
    <row r="101" ht="14.25" customHeight="1" s="46">
      <c r="A101" s="2" t="n"/>
      <c r="B101" s="2" t="n"/>
      <c r="C101" s="2" t="n"/>
      <c r="D101" s="2" t="n"/>
      <c r="E101" s="2" t="n"/>
      <c r="F101" s="2" t="n"/>
      <c r="G101" s="2" t="n"/>
      <c r="H101" s="2" t="n"/>
      <c r="I101" s="2" t="n"/>
    </row>
    <row r="102" ht="14.25" customHeight="1" s="46">
      <c r="A102" s="2" t="n"/>
      <c r="B102" s="2" t="n"/>
      <c r="C102" s="2" t="n"/>
      <c r="D102" s="2" t="n"/>
      <c r="E102" s="2" t="n"/>
      <c r="F102" s="2" t="n"/>
      <c r="G102" s="2" t="n"/>
      <c r="H102" s="2" t="n"/>
      <c r="I102" s="2" t="n"/>
    </row>
    <row r="103" ht="14.25" customHeight="1" s="46">
      <c r="A103" s="2" t="n"/>
      <c r="B103" s="2" t="n"/>
      <c r="C103" s="2" t="n"/>
      <c r="D103" s="2" t="n"/>
      <c r="E103" s="2" t="n"/>
      <c r="F103" s="2" t="n"/>
      <c r="G103" s="2" t="n"/>
      <c r="H103" s="2" t="n"/>
      <c r="I103" s="2" t="n"/>
    </row>
    <row r="104" ht="14.25" customHeight="1" s="46">
      <c r="A104" s="2" t="n"/>
      <c r="B104" s="2" t="n"/>
      <c r="C104" s="2" t="n"/>
      <c r="D104" s="2" t="n"/>
      <c r="E104" s="2" t="n"/>
      <c r="F104" s="2" t="n"/>
      <c r="G104" s="2" t="n"/>
      <c r="H104" s="2" t="n"/>
      <c r="I104" s="2" t="n"/>
    </row>
    <row r="105" ht="14.25" customHeight="1" s="46">
      <c r="A105" s="2" t="n"/>
      <c r="B105" s="2" t="n"/>
      <c r="C105" s="2" t="n"/>
      <c r="D105" s="2" t="n"/>
      <c r="E105" s="2" t="n"/>
      <c r="F105" s="2" t="n"/>
      <c r="G105" s="2" t="n"/>
      <c r="H105" s="2" t="n"/>
      <c r="I105" s="2" t="n"/>
    </row>
    <row r="106" ht="14.25" customHeight="1" s="46">
      <c r="A106" s="2" t="n"/>
      <c r="B106" s="2" t="n"/>
      <c r="C106" s="2" t="n"/>
      <c r="D106" s="2" t="n"/>
      <c r="E106" s="2" t="n"/>
      <c r="F106" s="2" t="n"/>
      <c r="G106" s="2" t="n"/>
      <c r="H106" s="2" t="n"/>
      <c r="I106" s="2" t="n"/>
    </row>
    <row r="107" ht="14.25" customHeight="1" s="46">
      <c r="A107" s="2" t="n"/>
      <c r="B107" s="2" t="n"/>
      <c r="C107" s="2" t="n"/>
      <c r="D107" s="2" t="n"/>
      <c r="E107" s="2" t="n"/>
      <c r="F107" s="2" t="n"/>
      <c r="G107" s="2" t="n"/>
      <c r="H107" s="2" t="n"/>
      <c r="I107" s="2" t="n"/>
    </row>
    <row r="108" ht="14.25" customHeight="1" s="46">
      <c r="A108" s="2" t="n"/>
      <c r="B108" s="2" t="n"/>
      <c r="C108" s="2" t="n"/>
      <c r="D108" s="2" t="n"/>
      <c r="E108" s="2" t="n"/>
      <c r="F108" s="2" t="n"/>
      <c r="G108" s="2" t="n"/>
      <c r="H108" s="2" t="n"/>
      <c r="I108" s="2" t="n"/>
    </row>
    <row r="109" ht="14.25" customHeight="1" s="46">
      <c r="A109" s="2" t="n"/>
      <c r="B109" s="2" t="n"/>
      <c r="C109" s="2" t="n"/>
      <c r="D109" s="2" t="n"/>
      <c r="E109" s="2" t="n"/>
      <c r="F109" s="2" t="n"/>
      <c r="G109" s="2" t="n"/>
      <c r="H109" s="2" t="n"/>
      <c r="I109" s="2" t="n"/>
    </row>
    <row r="110" ht="14.25" customHeight="1" s="46">
      <c r="A110" s="2" t="n"/>
      <c r="B110" s="2" t="n"/>
      <c r="C110" s="2" t="n"/>
      <c r="D110" s="2" t="n"/>
      <c r="E110" s="2" t="n"/>
      <c r="F110" s="2" t="n"/>
      <c r="G110" s="2" t="n"/>
      <c r="H110" s="2" t="n"/>
      <c r="I110" s="2" t="n"/>
    </row>
    <row r="111" ht="14.25" customHeight="1" s="46">
      <c r="A111" s="2" t="n"/>
      <c r="B111" s="2" t="n"/>
      <c r="C111" s="2" t="n"/>
      <c r="D111" s="2" t="n"/>
      <c r="E111" s="2" t="n"/>
      <c r="F111" s="2" t="n"/>
      <c r="G111" s="2" t="n"/>
      <c r="H111" s="2" t="n"/>
      <c r="I111" s="2" t="n"/>
    </row>
    <row r="112" ht="14.25" customHeight="1" s="46">
      <c r="A112" s="2" t="n"/>
      <c r="B112" s="2" t="n"/>
      <c r="C112" s="2" t="n"/>
      <c r="D112" s="2" t="n"/>
      <c r="E112" s="2" t="n"/>
      <c r="F112" s="2" t="n"/>
      <c r="G112" s="2" t="n"/>
      <c r="H112" s="2" t="n"/>
      <c r="I112" s="2" t="n"/>
    </row>
    <row r="113" ht="14.25" customHeight="1" s="46">
      <c r="A113" s="2" t="n"/>
      <c r="B113" s="2" t="n"/>
      <c r="C113" s="2" t="n"/>
      <c r="D113" s="2" t="n"/>
      <c r="E113" s="2" t="n"/>
      <c r="F113" s="2" t="n"/>
      <c r="G113" s="2" t="n"/>
      <c r="H113" s="2" t="n"/>
      <c r="I113" s="2" t="n"/>
    </row>
    <row r="114" ht="14.25" customHeight="1" s="46">
      <c r="A114" s="2" t="n"/>
      <c r="B114" s="2" t="n"/>
      <c r="C114" s="2" t="n"/>
      <c r="D114" s="2" t="n"/>
      <c r="E114" s="2" t="n"/>
      <c r="F114" s="2" t="n"/>
      <c r="G114" s="2" t="n"/>
      <c r="H114" s="2" t="n"/>
      <c r="I114" s="2" t="n"/>
    </row>
    <row r="115" ht="14.25" customHeight="1" s="46">
      <c r="A115" s="2" t="n"/>
      <c r="B115" s="2" t="n"/>
      <c r="C115" s="2" t="n"/>
      <c r="D115" s="2" t="n"/>
      <c r="E115" s="2" t="n"/>
      <c r="F115" s="2" t="n"/>
      <c r="G115" s="2" t="n"/>
      <c r="H115" s="2" t="n"/>
      <c r="I115" s="2" t="n"/>
    </row>
    <row r="116" ht="14.25" customHeight="1" s="46">
      <c r="A116" s="2" t="n"/>
      <c r="B116" s="2" t="n"/>
      <c r="C116" s="2" t="n"/>
      <c r="D116" s="2" t="n"/>
      <c r="E116" s="2" t="n"/>
      <c r="F116" s="2" t="n"/>
      <c r="G116" s="2" t="n"/>
      <c r="H116" s="2" t="n"/>
      <c r="I116" s="2" t="n"/>
    </row>
    <row r="117" ht="14.25" customHeight="1" s="46">
      <c r="A117" s="2" t="n"/>
      <c r="B117" s="2" t="n"/>
      <c r="C117" s="2" t="n"/>
      <c r="D117" s="2" t="n"/>
      <c r="E117" s="2" t="n"/>
      <c r="F117" s="2" t="n"/>
      <c r="G117" s="2" t="n"/>
      <c r="H117" s="2" t="n"/>
      <c r="I117" s="2" t="n"/>
    </row>
    <row r="118" ht="14.25" customHeight="1" s="46">
      <c r="A118" s="2" t="n"/>
      <c r="B118" s="2" t="n"/>
      <c r="C118" s="2" t="n"/>
      <c r="D118" s="2" t="n"/>
      <c r="E118" s="2" t="n"/>
      <c r="F118" s="2" t="n"/>
      <c r="G118" s="2" t="n"/>
      <c r="H118" s="2" t="n"/>
      <c r="I118" s="2" t="n"/>
    </row>
    <row r="119" ht="14.25" customHeight="1" s="46">
      <c r="A119" s="2" t="n"/>
      <c r="B119" s="2" t="n"/>
      <c r="C119" s="2" t="n"/>
      <c r="D119" s="2" t="n"/>
      <c r="E119" s="2" t="n"/>
      <c r="F119" s="2" t="n"/>
      <c r="G119" s="2" t="n"/>
      <c r="H119" s="2" t="n"/>
      <c r="I119" s="2" t="n"/>
    </row>
    <row r="120" ht="14.25" customHeight="1" s="46">
      <c r="A120" s="2" t="n"/>
      <c r="B120" s="2" t="n"/>
      <c r="C120" s="2" t="n"/>
      <c r="D120" s="2" t="n"/>
      <c r="E120" s="2" t="n"/>
      <c r="F120" s="2" t="n"/>
      <c r="G120" s="2" t="n"/>
      <c r="H120" s="2" t="n"/>
      <c r="I120" s="2" t="n"/>
    </row>
    <row r="121" ht="14.25" customHeight="1" s="46">
      <c r="A121" s="2" t="n"/>
      <c r="B121" s="2" t="n"/>
      <c r="C121" s="2" t="n"/>
      <c r="D121" s="2" t="n"/>
      <c r="E121" s="2" t="n"/>
      <c r="F121" s="2" t="n"/>
      <c r="G121" s="2" t="n"/>
      <c r="H121" s="2" t="n"/>
      <c r="I121" s="2" t="n"/>
    </row>
    <row r="122" ht="14.25" customHeight="1" s="46">
      <c r="A122" s="2" t="n"/>
      <c r="B122" s="2" t="n"/>
      <c r="C122" s="2" t="n"/>
      <c r="D122" s="2" t="n"/>
      <c r="E122" s="2" t="n"/>
      <c r="F122" s="2" t="n"/>
      <c r="G122" s="2" t="n"/>
      <c r="H122" s="2" t="n"/>
      <c r="I122" s="2" t="n"/>
    </row>
    <row r="123" ht="14.25" customHeight="1" s="46">
      <c r="A123" s="2" t="n"/>
      <c r="B123" s="2" t="n"/>
      <c r="C123" s="2" t="n"/>
      <c r="D123" s="2" t="n"/>
      <c r="E123" s="2" t="n"/>
      <c r="F123" s="2" t="n"/>
      <c r="G123" s="2" t="n"/>
      <c r="H123" s="2" t="n"/>
      <c r="I123" s="2" t="n"/>
    </row>
    <row r="124" ht="14.25" customHeight="1" s="46">
      <c r="A124" s="2" t="n"/>
      <c r="B124" s="2" t="n"/>
      <c r="C124" s="2" t="n"/>
      <c r="D124" s="2" t="n"/>
      <c r="E124" s="2" t="n"/>
      <c r="F124" s="2" t="n"/>
      <c r="G124" s="2" t="n"/>
      <c r="H124" s="2" t="n"/>
      <c r="I124" s="2" t="n"/>
    </row>
    <row r="125" ht="14.25" customHeight="1" s="46">
      <c r="A125" s="2" t="n"/>
      <c r="B125" s="2" t="n"/>
      <c r="C125" s="2" t="n"/>
      <c r="D125" s="2" t="n"/>
      <c r="E125" s="2" t="n"/>
      <c r="F125" s="2" t="n"/>
      <c r="G125" s="2" t="n"/>
      <c r="H125" s="2" t="n"/>
      <c r="I125" s="2" t="n"/>
    </row>
    <row r="126" ht="14.25" customHeight="1" s="46">
      <c r="A126" s="2" t="n"/>
      <c r="B126" s="2" t="n"/>
      <c r="C126" s="2" t="n"/>
      <c r="D126" s="2" t="n"/>
      <c r="E126" s="2" t="n"/>
      <c r="F126" s="2" t="n"/>
      <c r="G126" s="2" t="n"/>
      <c r="H126" s="2" t="n"/>
      <c r="I126" s="2" t="n"/>
    </row>
    <row r="127" ht="14.25" customHeight="1" s="46">
      <c r="A127" s="2" t="n"/>
      <c r="B127" s="2" t="n"/>
      <c r="C127" s="2" t="n"/>
      <c r="D127" s="2" t="n"/>
      <c r="E127" s="2" t="n"/>
      <c r="F127" s="2" t="n"/>
      <c r="G127" s="2" t="n"/>
      <c r="H127" s="2" t="n"/>
      <c r="I127" s="2" t="n"/>
    </row>
    <row r="128" ht="14.25" customHeight="1" s="46">
      <c r="A128" s="2" t="n"/>
      <c r="B128" s="2" t="n"/>
      <c r="C128" s="2" t="n"/>
      <c r="D128" s="2" t="n"/>
      <c r="E128" s="2" t="n"/>
      <c r="F128" s="2" t="n"/>
      <c r="G128" s="2" t="n"/>
      <c r="H128" s="2" t="n"/>
      <c r="I128" s="2" t="n"/>
    </row>
    <row r="129" ht="14.25" customHeight="1" s="46">
      <c r="A129" s="2" t="n"/>
      <c r="B129" s="2" t="n"/>
      <c r="C129" s="2" t="n"/>
      <c r="D129" s="2" t="n"/>
      <c r="E129" s="2" t="n"/>
      <c r="F129" s="2" t="n"/>
      <c r="G129" s="2" t="n"/>
      <c r="H129" s="2" t="n"/>
      <c r="I129" s="2" t="n"/>
    </row>
    <row r="130" ht="14.25" customHeight="1" s="46">
      <c r="A130" s="2" t="n"/>
      <c r="B130" s="2" t="n"/>
      <c r="C130" s="2" t="n"/>
      <c r="D130" s="2" t="n"/>
      <c r="E130" s="2" t="n"/>
      <c r="F130" s="2" t="n"/>
      <c r="G130" s="2" t="n"/>
      <c r="H130" s="2" t="n"/>
      <c r="I130" s="2" t="n"/>
    </row>
    <row r="131" ht="14.25" customHeight="1" s="46">
      <c r="A131" s="2" t="n"/>
      <c r="B131" s="2" t="n"/>
      <c r="C131" s="2" t="n"/>
      <c r="D131" s="2" t="n"/>
      <c r="E131" s="2" t="n"/>
      <c r="F131" s="2" t="n"/>
      <c r="G131" s="2" t="n"/>
      <c r="H131" s="2" t="n"/>
      <c r="I131" s="2" t="n"/>
    </row>
    <row r="132" ht="14.25" customHeight="1" s="46">
      <c r="A132" s="2" t="n"/>
      <c r="B132" s="2" t="n"/>
      <c r="C132" s="2" t="n"/>
      <c r="D132" s="2" t="n"/>
      <c r="E132" s="2" t="n"/>
      <c r="F132" s="2" t="n"/>
      <c r="G132" s="2" t="n"/>
      <c r="H132" s="2" t="n"/>
      <c r="I132" s="2" t="n"/>
    </row>
    <row r="133" ht="14.25" customHeight="1" s="46">
      <c r="A133" s="2" t="n"/>
      <c r="B133" s="2" t="n"/>
      <c r="C133" s="2" t="n"/>
      <c r="D133" s="2" t="n"/>
      <c r="E133" s="2" t="n"/>
      <c r="F133" s="2" t="n"/>
      <c r="G133" s="2" t="n"/>
      <c r="H133" s="2" t="n"/>
      <c r="I133" s="2" t="n"/>
    </row>
    <row r="134" ht="14.25" customHeight="1" s="46">
      <c r="A134" s="2" t="n"/>
      <c r="B134" s="2" t="n"/>
      <c r="C134" s="2" t="n"/>
      <c r="D134" s="2" t="n"/>
      <c r="E134" s="2" t="n"/>
      <c r="F134" s="2" t="n"/>
      <c r="G134" s="2" t="n"/>
      <c r="H134" s="2" t="n"/>
      <c r="I134" s="2" t="n"/>
    </row>
    <row r="135" ht="14.25" customHeight="1" s="46">
      <c r="A135" s="2" t="n"/>
      <c r="B135" s="2" t="n"/>
      <c r="C135" s="2" t="n"/>
      <c r="D135" s="2" t="n"/>
      <c r="E135" s="2" t="n"/>
      <c r="F135" s="2" t="n"/>
      <c r="G135" s="2" t="n"/>
      <c r="H135" s="2" t="n"/>
      <c r="I135" s="2" t="n"/>
    </row>
    <row r="136" ht="14.25" customHeight="1" s="46">
      <c r="A136" s="2" t="n"/>
      <c r="B136" s="2" t="n"/>
      <c r="C136" s="2" t="n"/>
      <c r="D136" s="2" t="n"/>
      <c r="E136" s="2" t="n"/>
      <c r="F136" s="2" t="n"/>
      <c r="G136" s="2" t="n"/>
      <c r="H136" s="2" t="n"/>
      <c r="I136" s="2" t="n"/>
    </row>
    <row r="137" ht="14.25" customHeight="1" s="46">
      <c r="A137" s="2" t="n"/>
      <c r="B137" s="2" t="n"/>
      <c r="C137" s="2" t="n"/>
      <c r="D137" s="2" t="n"/>
      <c r="E137" s="2" t="n"/>
      <c r="F137" s="2" t="n"/>
      <c r="G137" s="2" t="n"/>
      <c r="H137" s="2" t="n"/>
      <c r="I137" s="2" t="n"/>
    </row>
    <row r="138" ht="14.25" customHeight="1" s="46">
      <c r="A138" s="2" t="n"/>
      <c r="B138" s="2" t="n"/>
      <c r="C138" s="2" t="n"/>
      <c r="D138" s="2" t="n"/>
      <c r="E138" s="2" t="n"/>
      <c r="F138" s="2" t="n"/>
      <c r="G138" s="2" t="n"/>
      <c r="H138" s="2" t="n"/>
      <c r="I138" s="2" t="n"/>
    </row>
    <row r="139" ht="14.25" customHeight="1" s="46">
      <c r="A139" s="2" t="n"/>
      <c r="B139" s="2" t="n"/>
      <c r="C139" s="2" t="n"/>
      <c r="D139" s="2" t="n"/>
      <c r="E139" s="2" t="n"/>
      <c r="F139" s="2" t="n"/>
      <c r="G139" s="2" t="n"/>
      <c r="H139" s="2" t="n"/>
      <c r="I139" s="2" t="n"/>
    </row>
    <row r="140" ht="14.25" customHeight="1" s="46">
      <c r="A140" s="2" t="n"/>
      <c r="B140" s="2" t="n"/>
      <c r="C140" s="2" t="n"/>
      <c r="D140" s="2" t="n"/>
      <c r="E140" s="2" t="n"/>
      <c r="F140" s="2" t="n"/>
      <c r="G140" s="2" t="n"/>
      <c r="H140" s="2" t="n"/>
      <c r="I140" s="2" t="n"/>
    </row>
    <row r="141" ht="14.25" customHeight="1" s="46">
      <c r="A141" s="2" t="n"/>
      <c r="B141" s="2" t="n"/>
      <c r="C141" s="2" t="n"/>
      <c r="D141" s="2" t="n"/>
      <c r="E141" s="2" t="n"/>
      <c r="F141" s="2" t="n"/>
      <c r="G141" s="2" t="n"/>
      <c r="H141" s="2" t="n"/>
      <c r="I141" s="2" t="n"/>
    </row>
    <row r="142" ht="14.25" customHeight="1" s="46">
      <c r="A142" s="2" t="n"/>
      <c r="B142" s="2" t="n"/>
      <c r="C142" s="2" t="n"/>
      <c r="D142" s="2" t="n"/>
      <c r="E142" s="2" t="n"/>
      <c r="F142" s="2" t="n"/>
      <c r="G142" s="2" t="n"/>
      <c r="H142" s="2" t="n"/>
      <c r="I142" s="2" t="n"/>
    </row>
    <row r="143" ht="14.25" customHeight="1" s="46">
      <c r="A143" s="2" t="n"/>
      <c r="B143" s="2" t="n"/>
      <c r="C143" s="2" t="n"/>
      <c r="D143" s="2" t="n"/>
      <c r="E143" s="2" t="n"/>
      <c r="F143" s="2" t="n"/>
      <c r="G143" s="2" t="n"/>
      <c r="H143" s="2" t="n"/>
      <c r="I143" s="2" t="n"/>
    </row>
    <row r="144" ht="14.25" customHeight="1" s="46">
      <c r="A144" s="2" t="n"/>
      <c r="B144" s="2" t="n"/>
      <c r="C144" s="2" t="n"/>
      <c r="D144" s="2" t="n"/>
      <c r="E144" s="2" t="n"/>
      <c r="F144" s="2" t="n"/>
      <c r="G144" s="2" t="n"/>
      <c r="H144" s="2" t="n"/>
      <c r="I144" s="2" t="n"/>
    </row>
    <row r="145" ht="14.25" customHeight="1" s="46">
      <c r="A145" s="2" t="n"/>
      <c r="B145" s="2" t="n"/>
      <c r="C145" s="2" t="n"/>
      <c r="D145" s="2" t="n"/>
      <c r="E145" s="2" t="n"/>
      <c r="F145" s="2" t="n"/>
      <c r="G145" s="2" t="n"/>
      <c r="H145" s="2" t="n"/>
      <c r="I145" s="2" t="n"/>
    </row>
    <row r="146" ht="14.25" customHeight="1" s="46">
      <c r="A146" s="2" t="n"/>
      <c r="B146" s="2" t="n"/>
      <c r="C146" s="2" t="n"/>
      <c r="D146" s="2" t="n"/>
      <c r="E146" s="2" t="n"/>
      <c r="F146" s="2" t="n"/>
      <c r="G146" s="2" t="n"/>
      <c r="H146" s="2" t="n"/>
      <c r="I146" s="2" t="n"/>
    </row>
    <row r="147" ht="14.25" customHeight="1" s="46">
      <c r="A147" s="2" t="n"/>
      <c r="B147" s="2" t="n"/>
      <c r="C147" s="2" t="n"/>
      <c r="D147" s="2" t="n"/>
      <c r="E147" s="2" t="n"/>
      <c r="F147" s="2" t="n"/>
      <c r="G147" s="2" t="n"/>
      <c r="H147" s="2" t="n"/>
      <c r="I147" s="2" t="n"/>
    </row>
    <row r="148" ht="14.25" customHeight="1" s="46">
      <c r="A148" s="2" t="n"/>
      <c r="B148" s="2" t="n"/>
      <c r="C148" s="2" t="n"/>
      <c r="D148" s="2" t="n"/>
      <c r="E148" s="2" t="n"/>
      <c r="F148" s="2" t="n"/>
      <c r="G148" s="2" t="n"/>
      <c r="H148" s="2" t="n"/>
      <c r="I148" s="2" t="n"/>
    </row>
    <row r="149" ht="14.25" customHeight="1" s="46">
      <c r="A149" s="2" t="n"/>
      <c r="B149" s="2" t="n"/>
      <c r="C149" s="2" t="n"/>
      <c r="D149" s="2" t="n"/>
      <c r="E149" s="2" t="n"/>
      <c r="F149" s="2" t="n"/>
      <c r="G149" s="2" t="n"/>
      <c r="H149" s="2" t="n"/>
      <c r="I149" s="2" t="n"/>
    </row>
    <row r="150" ht="14.25" customHeight="1" s="46">
      <c r="A150" s="2" t="n"/>
      <c r="B150" s="2" t="n"/>
      <c r="C150" s="2" t="n"/>
      <c r="D150" s="2" t="n"/>
      <c r="E150" s="2" t="n"/>
      <c r="F150" s="2" t="n"/>
      <c r="G150" s="2" t="n"/>
      <c r="H150" s="2" t="n"/>
      <c r="I150" s="2" t="n"/>
    </row>
    <row r="151" ht="14.25" customHeight="1" s="46">
      <c r="A151" s="2" t="n"/>
      <c r="B151" s="2" t="n"/>
      <c r="C151" s="2" t="n"/>
      <c r="D151" s="2" t="n"/>
      <c r="E151" s="2" t="n"/>
      <c r="F151" s="2" t="n"/>
      <c r="G151" s="2" t="n"/>
      <c r="H151" s="2" t="n"/>
      <c r="I151" s="2" t="n"/>
    </row>
    <row r="152" ht="14.25" customHeight="1" s="46">
      <c r="A152" s="2" t="n"/>
      <c r="B152" s="2" t="n"/>
      <c r="C152" s="2" t="n"/>
      <c r="D152" s="2" t="n"/>
      <c r="E152" s="2" t="n"/>
      <c r="F152" s="2" t="n"/>
      <c r="G152" s="2" t="n"/>
      <c r="H152" s="2" t="n"/>
      <c r="I152" s="2" t="n"/>
    </row>
    <row r="153" ht="14.25" customHeight="1" s="46">
      <c r="A153" s="2" t="n"/>
      <c r="B153" s="2" t="n"/>
      <c r="C153" s="2" t="n"/>
      <c r="D153" s="2" t="n"/>
      <c r="E153" s="2" t="n"/>
      <c r="F153" s="2" t="n"/>
      <c r="G153" s="2" t="n"/>
      <c r="H153" s="2" t="n"/>
      <c r="I153" s="2" t="n"/>
    </row>
    <row r="154" ht="14.25" customHeight="1" s="46">
      <c r="A154" s="2" t="n"/>
      <c r="B154" s="2" t="n"/>
      <c r="C154" s="2" t="n"/>
      <c r="D154" s="2" t="n"/>
      <c r="E154" s="2" t="n"/>
      <c r="F154" s="2" t="n"/>
      <c r="G154" s="2" t="n"/>
      <c r="H154" s="2" t="n"/>
      <c r="I154" s="2" t="n"/>
    </row>
    <row r="155" ht="14.25" customHeight="1" s="46">
      <c r="A155" s="2" t="n"/>
      <c r="B155" s="2" t="n"/>
      <c r="C155" s="2" t="n"/>
      <c r="D155" s="2" t="n"/>
      <c r="E155" s="2" t="n"/>
      <c r="F155" s="2" t="n"/>
      <c r="G155" s="2" t="n"/>
      <c r="H155" s="2" t="n"/>
      <c r="I155" s="2" t="n"/>
    </row>
    <row r="156" ht="14.25" customHeight="1" s="46">
      <c r="A156" s="2" t="n"/>
      <c r="B156" s="2" t="n"/>
      <c r="C156" s="2" t="n"/>
      <c r="D156" s="2" t="n"/>
      <c r="E156" s="2" t="n"/>
      <c r="F156" s="2" t="n"/>
      <c r="G156" s="2" t="n"/>
      <c r="H156" s="2" t="n"/>
      <c r="I156" s="2" t="n"/>
    </row>
    <row r="157" ht="14.25" customHeight="1" s="46">
      <c r="A157" s="2" t="n"/>
      <c r="B157" s="2" t="n"/>
      <c r="C157" s="2" t="n"/>
      <c r="D157" s="2" t="n"/>
      <c r="E157" s="2" t="n"/>
      <c r="F157" s="2" t="n"/>
      <c r="G157" s="2" t="n"/>
      <c r="H157" s="2" t="n"/>
      <c r="I157" s="2" t="n"/>
    </row>
    <row r="158" ht="14.25" customHeight="1" s="46">
      <c r="A158" s="2" t="n"/>
      <c r="B158" s="2" t="n"/>
      <c r="C158" s="2" t="n"/>
      <c r="D158" s="2" t="n"/>
      <c r="E158" s="2" t="n"/>
      <c r="F158" s="2" t="n"/>
      <c r="G158" s="2" t="n"/>
      <c r="H158" s="2" t="n"/>
      <c r="I158" s="2" t="n"/>
    </row>
    <row r="159" ht="14.25" customHeight="1" s="46">
      <c r="A159" s="2" t="n"/>
      <c r="B159" s="2" t="n"/>
      <c r="C159" s="2" t="n"/>
      <c r="D159" s="2" t="n"/>
      <c r="E159" s="2" t="n"/>
      <c r="F159" s="2" t="n"/>
      <c r="G159" s="2" t="n"/>
      <c r="H159" s="2" t="n"/>
      <c r="I159" s="2" t="n"/>
    </row>
    <row r="160" ht="14.25" customHeight="1" s="46">
      <c r="A160" s="2" t="n"/>
      <c r="B160" s="2" t="n"/>
      <c r="C160" s="2" t="n"/>
      <c r="D160" s="2" t="n"/>
      <c r="E160" s="2" t="n"/>
      <c r="F160" s="2" t="n"/>
      <c r="G160" s="2" t="n"/>
      <c r="H160" s="2" t="n"/>
      <c r="I160" s="2" t="n"/>
    </row>
    <row r="161" ht="14.25" customHeight="1" s="46">
      <c r="A161" s="2" t="n"/>
      <c r="B161" s="2" t="n"/>
      <c r="C161" s="2" t="n"/>
      <c r="D161" s="2" t="n"/>
      <c r="E161" s="2" t="n"/>
      <c r="F161" s="2" t="n"/>
      <c r="G161" s="2" t="n"/>
      <c r="H161" s="2" t="n"/>
      <c r="I161" s="2" t="n"/>
    </row>
    <row r="162" ht="14.25" customHeight="1" s="46">
      <c r="A162" s="2" t="n"/>
      <c r="B162" s="2" t="n"/>
      <c r="C162" s="2" t="n"/>
      <c r="D162" s="2" t="n"/>
      <c r="E162" s="2" t="n"/>
      <c r="F162" s="2" t="n"/>
      <c r="G162" s="2" t="n"/>
      <c r="H162" s="2" t="n"/>
      <c r="I162" s="2" t="n"/>
    </row>
    <row r="163" ht="14.25" customHeight="1" s="46">
      <c r="A163" s="2" t="n"/>
      <c r="B163" s="2" t="n"/>
      <c r="C163" s="2" t="n"/>
      <c r="D163" s="2" t="n"/>
      <c r="E163" s="2" t="n"/>
      <c r="F163" s="2" t="n"/>
      <c r="G163" s="2" t="n"/>
      <c r="H163" s="2" t="n"/>
      <c r="I163" s="2" t="n"/>
    </row>
    <row r="164" ht="14.25" customHeight="1" s="46">
      <c r="A164" s="2" t="n"/>
      <c r="B164" s="2" t="n"/>
      <c r="C164" s="2" t="n"/>
      <c r="D164" s="2" t="n"/>
      <c r="E164" s="2" t="n"/>
      <c r="F164" s="2" t="n"/>
      <c r="G164" s="2" t="n"/>
      <c r="H164" s="2" t="n"/>
      <c r="I164" s="2" t="n"/>
    </row>
    <row r="165" ht="14.25" customHeight="1" s="46">
      <c r="A165" s="2" t="n"/>
      <c r="B165" s="2" t="n"/>
      <c r="C165" s="2" t="n"/>
      <c r="D165" s="2" t="n"/>
      <c r="E165" s="2" t="n"/>
      <c r="F165" s="2" t="n"/>
      <c r="G165" s="2" t="n"/>
      <c r="H165" s="2" t="n"/>
      <c r="I165" s="2" t="n"/>
    </row>
    <row r="166" ht="14.25" customHeight="1" s="46">
      <c r="A166" s="2" t="n"/>
      <c r="B166" s="2" t="n"/>
      <c r="C166" s="2" t="n"/>
      <c r="D166" s="2" t="n"/>
      <c r="E166" s="2" t="n"/>
      <c r="F166" s="2" t="n"/>
      <c r="G166" s="2" t="n"/>
      <c r="H166" s="2" t="n"/>
      <c r="I166" s="2" t="n"/>
    </row>
    <row r="167" ht="14.25" customHeight="1" s="46">
      <c r="A167" s="2" t="n"/>
      <c r="B167" s="2" t="n"/>
      <c r="C167" s="2" t="n"/>
      <c r="D167" s="2" t="n"/>
      <c r="E167" s="2" t="n"/>
      <c r="F167" s="2" t="n"/>
      <c r="G167" s="2" t="n"/>
      <c r="H167" s="2" t="n"/>
      <c r="I167" s="2" t="n"/>
    </row>
    <row r="168" ht="14.25" customHeight="1" s="46">
      <c r="A168" s="2" t="n"/>
      <c r="B168" s="2" t="n"/>
      <c r="C168" s="2" t="n"/>
      <c r="D168" s="2" t="n"/>
      <c r="E168" s="2" t="n"/>
      <c r="F168" s="2" t="n"/>
      <c r="G168" s="2" t="n"/>
      <c r="H168" s="2" t="n"/>
      <c r="I168" s="2" t="n"/>
    </row>
    <row r="169" ht="14.25" customHeight="1" s="46">
      <c r="A169" s="2" t="n"/>
      <c r="B169" s="2" t="n"/>
      <c r="C169" s="2" t="n"/>
      <c r="D169" s="2" t="n"/>
      <c r="E169" s="2" t="n"/>
      <c r="F169" s="2" t="n"/>
      <c r="G169" s="2" t="n"/>
      <c r="H169" s="2" t="n"/>
      <c r="I169" s="2" t="n"/>
    </row>
    <row r="170" ht="14.25" customHeight="1" s="46">
      <c r="A170" s="2" t="n"/>
      <c r="B170" s="2" t="n"/>
      <c r="C170" s="2" t="n"/>
      <c r="D170" s="2" t="n"/>
      <c r="E170" s="2" t="n"/>
      <c r="F170" s="2" t="n"/>
      <c r="G170" s="2" t="n"/>
      <c r="H170" s="2" t="n"/>
      <c r="I170" s="2" t="n"/>
    </row>
    <row r="171" ht="14.25" customHeight="1" s="46">
      <c r="A171" s="2" t="n"/>
      <c r="B171" s="2" t="n"/>
      <c r="C171" s="2" t="n"/>
      <c r="D171" s="2" t="n"/>
      <c r="E171" s="2" t="n"/>
      <c r="F171" s="2" t="n"/>
      <c r="G171" s="2" t="n"/>
      <c r="H171" s="2" t="n"/>
      <c r="I171" s="2" t="n"/>
    </row>
    <row r="172" ht="14.25" customHeight="1" s="46">
      <c r="A172" s="2" t="n"/>
      <c r="B172" s="2" t="n"/>
      <c r="C172" s="2" t="n"/>
      <c r="D172" s="2" t="n"/>
      <c r="E172" s="2" t="n"/>
      <c r="F172" s="2" t="n"/>
      <c r="G172" s="2" t="n"/>
      <c r="H172" s="2" t="n"/>
      <c r="I172" s="2" t="n"/>
    </row>
    <row r="173" ht="14.25" customHeight="1" s="46">
      <c r="A173" s="2" t="n"/>
      <c r="B173" s="2" t="n"/>
      <c r="C173" s="2" t="n"/>
      <c r="D173" s="2" t="n"/>
      <c r="E173" s="2" t="n"/>
      <c r="F173" s="2" t="n"/>
      <c r="G173" s="2" t="n"/>
      <c r="H173" s="2" t="n"/>
      <c r="I173" s="2" t="n"/>
    </row>
    <row r="174" ht="14.25" customHeight="1" s="46">
      <c r="A174" s="2" t="n"/>
      <c r="B174" s="2" t="n"/>
      <c r="C174" s="2" t="n"/>
      <c r="D174" s="2" t="n"/>
      <c r="E174" s="2" t="n"/>
      <c r="F174" s="2" t="n"/>
      <c r="G174" s="2" t="n"/>
      <c r="H174" s="2" t="n"/>
      <c r="I174" s="2" t="n"/>
    </row>
    <row r="175" ht="14.25" customHeight="1" s="46">
      <c r="A175" s="2" t="n"/>
      <c r="B175" s="2" t="n"/>
      <c r="C175" s="2" t="n"/>
      <c r="D175" s="2" t="n"/>
      <c r="E175" s="2" t="n"/>
      <c r="F175" s="2" t="n"/>
      <c r="G175" s="2" t="n"/>
      <c r="H175" s="2" t="n"/>
      <c r="I175" s="2" t="n"/>
    </row>
    <row r="176" ht="14.25" customHeight="1" s="46">
      <c r="A176" s="2" t="n"/>
      <c r="B176" s="2" t="n"/>
      <c r="C176" s="2" t="n"/>
      <c r="D176" s="2" t="n"/>
      <c r="E176" s="2" t="n"/>
      <c r="F176" s="2" t="n"/>
      <c r="G176" s="2" t="n"/>
      <c r="H176" s="2" t="n"/>
      <c r="I176" s="2" t="n"/>
    </row>
    <row r="177" ht="14.25" customHeight="1" s="46">
      <c r="A177" s="2" t="n"/>
      <c r="B177" s="2" t="n"/>
      <c r="C177" s="2" t="n"/>
      <c r="D177" s="2" t="n"/>
      <c r="E177" s="2" t="n"/>
      <c r="F177" s="2" t="n"/>
      <c r="G177" s="2" t="n"/>
      <c r="H177" s="2" t="n"/>
      <c r="I177" s="2" t="n"/>
    </row>
    <row r="178" ht="14.25" customHeight="1" s="46">
      <c r="A178" s="2" t="n"/>
      <c r="B178" s="2" t="n"/>
      <c r="C178" s="2" t="n"/>
      <c r="D178" s="2" t="n"/>
      <c r="E178" s="2" t="n"/>
      <c r="F178" s="2" t="n"/>
      <c r="G178" s="2" t="n"/>
      <c r="H178" s="2" t="n"/>
      <c r="I178" s="2" t="n"/>
    </row>
    <row r="179" ht="14.25" customHeight="1" s="46">
      <c r="A179" s="2" t="n"/>
      <c r="B179" s="2" t="n"/>
      <c r="C179" s="2" t="n"/>
      <c r="D179" s="2" t="n"/>
      <c r="E179" s="2" t="n"/>
      <c r="F179" s="2" t="n"/>
      <c r="G179" s="2" t="n"/>
      <c r="H179" s="2" t="n"/>
      <c r="I179" s="2" t="n"/>
    </row>
    <row r="180" ht="14.25" customHeight="1" s="46">
      <c r="A180" s="2" t="n"/>
      <c r="B180" s="2" t="n"/>
      <c r="C180" s="2" t="n"/>
      <c r="D180" s="2" t="n"/>
      <c r="E180" s="2" t="n"/>
      <c r="F180" s="2" t="n"/>
      <c r="G180" s="2" t="n"/>
      <c r="H180" s="2" t="n"/>
      <c r="I180" s="2" t="n"/>
    </row>
    <row r="181" ht="14.25" customHeight="1" s="46">
      <c r="A181" s="2" t="n"/>
      <c r="B181" s="2" t="n"/>
      <c r="C181" s="2" t="n"/>
      <c r="D181" s="2" t="n"/>
      <c r="E181" s="2" t="n"/>
      <c r="F181" s="2" t="n"/>
      <c r="G181" s="2" t="n"/>
      <c r="H181" s="2" t="n"/>
      <c r="I181" s="2" t="n"/>
    </row>
    <row r="182" ht="14.25" customHeight="1" s="46">
      <c r="A182" s="2" t="n"/>
      <c r="B182" s="2" t="n"/>
      <c r="C182" s="2" t="n"/>
      <c r="D182" s="2" t="n"/>
      <c r="E182" s="2" t="n"/>
      <c r="F182" s="2" t="n"/>
      <c r="G182" s="2" t="n"/>
      <c r="H182" s="2" t="n"/>
      <c r="I182" s="2" t="n"/>
    </row>
    <row r="183" ht="14.25" customHeight="1" s="46">
      <c r="A183" s="2" t="n"/>
      <c r="B183" s="2" t="n"/>
      <c r="C183" s="2" t="n"/>
      <c r="D183" s="2" t="n"/>
      <c r="E183" s="2" t="n"/>
      <c r="F183" s="2" t="n"/>
      <c r="G183" s="2" t="n"/>
      <c r="H183" s="2" t="n"/>
      <c r="I183" s="2" t="n"/>
    </row>
    <row r="184" ht="14.25" customHeight="1" s="46">
      <c r="A184" s="2" t="n"/>
      <c r="B184" s="2" t="n"/>
      <c r="C184" s="2" t="n"/>
      <c r="D184" s="2" t="n"/>
      <c r="E184" s="2" t="n"/>
      <c r="F184" s="2" t="n"/>
      <c r="G184" s="2" t="n"/>
      <c r="H184" s="2" t="n"/>
      <c r="I184" s="2" t="n"/>
    </row>
    <row r="185" ht="14.25" customHeight="1" s="46">
      <c r="A185" s="2" t="n"/>
      <c r="B185" s="2" t="n"/>
      <c r="C185" s="2" t="n"/>
      <c r="D185" s="2" t="n"/>
      <c r="E185" s="2" t="n"/>
      <c r="F185" s="2" t="n"/>
      <c r="G185" s="2" t="n"/>
      <c r="H185" s="2" t="n"/>
      <c r="I185" s="2" t="n"/>
    </row>
    <row r="186" ht="14.25" customHeight="1" s="46">
      <c r="A186" s="2" t="n"/>
      <c r="B186" s="2" t="n"/>
      <c r="C186" s="2" t="n"/>
      <c r="D186" s="2" t="n"/>
      <c r="E186" s="2" t="n"/>
      <c r="F186" s="2" t="n"/>
      <c r="G186" s="2" t="n"/>
      <c r="H186" s="2" t="n"/>
      <c r="I186" s="2" t="n"/>
    </row>
    <row r="187" ht="14.25" customHeight="1" s="46">
      <c r="A187" s="2" t="n"/>
      <c r="B187" s="2" t="n"/>
      <c r="C187" s="2" t="n"/>
      <c r="D187" s="2" t="n"/>
      <c r="E187" s="2" t="n"/>
      <c r="F187" s="2" t="n"/>
      <c r="G187" s="2" t="n"/>
      <c r="H187" s="2" t="n"/>
      <c r="I187" s="2" t="n"/>
    </row>
    <row r="188" ht="14.25" customHeight="1" s="46">
      <c r="A188" s="2" t="n"/>
      <c r="B188" s="2" t="n"/>
      <c r="C188" s="2" t="n"/>
      <c r="D188" s="2" t="n"/>
      <c r="E188" s="2" t="n"/>
      <c r="F188" s="2" t="n"/>
      <c r="G188" s="2" t="n"/>
      <c r="H188" s="2" t="n"/>
      <c r="I188" s="2" t="n"/>
    </row>
    <row r="189" ht="14.25" customHeight="1" s="46">
      <c r="A189" s="2" t="n"/>
      <c r="B189" s="2" t="n"/>
      <c r="C189" s="2" t="n"/>
      <c r="D189" s="2" t="n"/>
      <c r="E189" s="2" t="n"/>
      <c r="F189" s="2" t="n"/>
      <c r="G189" s="2" t="n"/>
      <c r="H189" s="2" t="n"/>
      <c r="I189" s="2" t="n"/>
    </row>
    <row r="190" ht="14.25" customHeight="1" s="46">
      <c r="A190" s="2" t="n"/>
      <c r="B190" s="2" t="n"/>
      <c r="C190" s="2" t="n"/>
      <c r="D190" s="2" t="n"/>
      <c r="E190" s="2" t="n"/>
      <c r="F190" s="2" t="n"/>
      <c r="G190" s="2" t="n"/>
      <c r="H190" s="2" t="n"/>
      <c r="I190" s="2" t="n"/>
    </row>
    <row r="191" ht="14.25" customHeight="1" s="46">
      <c r="A191" s="2" t="n"/>
      <c r="B191" s="2" t="n"/>
      <c r="C191" s="2" t="n"/>
      <c r="D191" s="2" t="n"/>
      <c r="E191" s="2" t="n"/>
      <c r="F191" s="2" t="n"/>
      <c r="G191" s="2" t="n"/>
      <c r="H191" s="2" t="n"/>
      <c r="I191" s="2" t="n"/>
    </row>
    <row r="192" ht="14.25" customHeight="1" s="46">
      <c r="A192" s="2" t="n"/>
      <c r="B192" s="2" t="n"/>
      <c r="C192" s="2" t="n"/>
      <c r="D192" s="2" t="n"/>
      <c r="E192" s="2" t="n"/>
      <c r="F192" s="2" t="n"/>
      <c r="G192" s="2" t="n"/>
      <c r="H192" s="2" t="n"/>
      <c r="I192" s="2" t="n"/>
    </row>
    <row r="193" ht="14.25" customHeight="1" s="46">
      <c r="A193" s="2" t="n"/>
      <c r="B193" s="2" t="n"/>
      <c r="C193" s="2" t="n"/>
      <c r="D193" s="2" t="n"/>
      <c r="E193" s="2" t="n"/>
      <c r="F193" s="2" t="n"/>
      <c r="G193" s="2" t="n"/>
      <c r="H193" s="2" t="n"/>
      <c r="I193" s="2" t="n"/>
    </row>
    <row r="194" ht="14.25" customHeight="1" s="46">
      <c r="A194" s="2" t="n"/>
      <c r="B194" s="2" t="n"/>
      <c r="C194" s="2" t="n"/>
      <c r="D194" s="2" t="n"/>
      <c r="E194" s="2" t="n"/>
      <c r="F194" s="2" t="n"/>
      <c r="G194" s="2" t="n"/>
      <c r="H194" s="2" t="n"/>
      <c r="I194" s="2" t="n"/>
    </row>
    <row r="195" ht="14.25" customHeight="1" s="46">
      <c r="A195" s="2" t="n"/>
      <c r="B195" s="2" t="n"/>
      <c r="C195" s="2" t="n"/>
      <c r="D195" s="2" t="n"/>
      <c r="E195" s="2" t="n"/>
      <c r="F195" s="2" t="n"/>
      <c r="G195" s="2" t="n"/>
      <c r="H195" s="2" t="n"/>
      <c r="I195" s="2" t="n"/>
    </row>
    <row r="196" ht="14.25" customHeight="1" s="46">
      <c r="A196" s="2" t="n"/>
      <c r="B196" s="2" t="n"/>
      <c r="C196" s="2" t="n"/>
      <c r="D196" s="2" t="n"/>
      <c r="E196" s="2" t="n"/>
      <c r="F196" s="2" t="n"/>
      <c r="G196" s="2" t="n"/>
      <c r="H196" s="2" t="n"/>
      <c r="I196" s="2" t="n"/>
    </row>
    <row r="197" ht="14.25" customHeight="1" s="46">
      <c r="A197" s="2" t="n"/>
      <c r="B197" s="2" t="n"/>
      <c r="C197" s="2" t="n"/>
      <c r="D197" s="2" t="n"/>
      <c r="E197" s="2" t="n"/>
      <c r="F197" s="2" t="n"/>
      <c r="G197" s="2" t="n"/>
      <c r="H197" s="2" t="n"/>
      <c r="I197" s="2" t="n"/>
    </row>
    <row r="198" ht="14.25" customHeight="1" s="46">
      <c r="A198" s="2" t="n"/>
      <c r="B198" s="2" t="n"/>
      <c r="C198" s="2" t="n"/>
      <c r="D198" s="2" t="n"/>
      <c r="E198" s="2" t="n"/>
      <c r="F198" s="2" t="n"/>
      <c r="G198" s="2" t="n"/>
      <c r="H198" s="2" t="n"/>
      <c r="I198" s="2" t="n"/>
    </row>
    <row r="199" ht="14.25" customHeight="1" s="46">
      <c r="A199" s="2" t="n"/>
      <c r="B199" s="2" t="n"/>
      <c r="C199" s="2" t="n"/>
      <c r="D199" s="2" t="n"/>
      <c r="E199" s="2" t="n"/>
      <c r="F199" s="2" t="n"/>
      <c r="G199" s="2" t="n"/>
      <c r="H199" s="2" t="n"/>
      <c r="I199" s="2" t="n"/>
    </row>
    <row r="200" ht="14.25" customHeight="1" s="46">
      <c r="A200" s="2" t="n"/>
      <c r="B200" s="2" t="n"/>
      <c r="C200" s="2" t="n"/>
      <c r="D200" s="2" t="n"/>
      <c r="E200" s="2" t="n"/>
      <c r="F200" s="2" t="n"/>
      <c r="G200" s="2" t="n"/>
      <c r="H200" s="2" t="n"/>
      <c r="I200" s="2" t="n"/>
    </row>
    <row r="201" ht="14.25" customHeight="1" s="46">
      <c r="A201" s="2" t="n"/>
      <c r="B201" s="2" t="n"/>
      <c r="C201" s="2" t="n"/>
      <c r="D201" s="2" t="n"/>
      <c r="E201" s="2" t="n"/>
      <c r="F201" s="2" t="n"/>
      <c r="G201" s="2" t="n"/>
      <c r="H201" s="2" t="n"/>
      <c r="I201" s="2" t="n"/>
    </row>
    <row r="202" ht="14.25" customHeight="1" s="46">
      <c r="A202" s="2" t="n"/>
      <c r="B202" s="2" t="n"/>
      <c r="C202" s="2" t="n"/>
      <c r="D202" s="2" t="n"/>
      <c r="E202" s="2" t="n"/>
      <c r="F202" s="2" t="n"/>
      <c r="G202" s="2" t="n"/>
      <c r="H202" s="2" t="n"/>
      <c r="I202" s="2" t="n"/>
    </row>
    <row r="203" ht="14.25" customHeight="1" s="46">
      <c r="A203" s="2" t="n"/>
      <c r="B203" s="2" t="n"/>
      <c r="C203" s="2" t="n"/>
      <c r="D203" s="2" t="n"/>
      <c r="E203" s="2" t="n"/>
      <c r="F203" s="2" t="n"/>
      <c r="G203" s="2" t="n"/>
      <c r="H203" s="2" t="n"/>
      <c r="I203" s="2" t="n"/>
    </row>
    <row r="204" ht="14.25" customHeight="1" s="46">
      <c r="A204" s="2" t="n"/>
      <c r="B204" s="2" t="n"/>
      <c r="C204" s="2" t="n"/>
      <c r="D204" s="2" t="n"/>
      <c r="E204" s="2" t="n"/>
      <c r="F204" s="2" t="n"/>
      <c r="G204" s="2" t="n"/>
      <c r="H204" s="2" t="n"/>
      <c r="I204" s="2" t="n"/>
    </row>
    <row r="205" ht="14.25" customHeight="1" s="46">
      <c r="A205" s="2" t="n"/>
      <c r="B205" s="2" t="n"/>
      <c r="C205" s="2" t="n"/>
      <c r="D205" s="2" t="n"/>
      <c r="E205" s="2" t="n"/>
      <c r="F205" s="2" t="n"/>
      <c r="G205" s="2" t="n"/>
      <c r="H205" s="2" t="n"/>
      <c r="I205" s="2" t="n"/>
    </row>
    <row r="206" ht="14.25" customHeight="1" s="46">
      <c r="A206" s="2" t="n"/>
      <c r="B206" s="2" t="n"/>
      <c r="C206" s="2" t="n"/>
      <c r="D206" s="2" t="n"/>
      <c r="E206" s="2" t="n"/>
      <c r="F206" s="2" t="n"/>
      <c r="G206" s="2" t="n"/>
      <c r="H206" s="2" t="n"/>
      <c r="I206" s="2" t="n"/>
    </row>
    <row r="207" ht="14.25" customHeight="1" s="46">
      <c r="A207" s="2" t="n"/>
      <c r="B207" s="2" t="n"/>
      <c r="C207" s="2" t="n"/>
      <c r="D207" s="2" t="n"/>
      <c r="E207" s="2" t="n"/>
      <c r="F207" s="2" t="n"/>
      <c r="G207" s="2" t="n"/>
      <c r="H207" s="2" t="n"/>
      <c r="I207" s="2" t="n"/>
    </row>
    <row r="208" ht="14.25" customHeight="1" s="46">
      <c r="A208" s="2" t="n"/>
      <c r="B208" s="2" t="n"/>
      <c r="C208" s="2" t="n"/>
      <c r="D208" s="2" t="n"/>
      <c r="E208" s="2" t="n"/>
      <c r="F208" s="2" t="n"/>
      <c r="G208" s="2" t="n"/>
      <c r="H208" s="2" t="n"/>
      <c r="I208" s="2" t="n"/>
    </row>
    <row r="209" ht="14.25" customHeight="1" s="46">
      <c r="A209" s="2" t="n"/>
      <c r="B209" s="2" t="n"/>
      <c r="C209" s="2" t="n"/>
      <c r="D209" s="2" t="n"/>
      <c r="E209" s="2" t="n"/>
      <c r="F209" s="2" t="n"/>
      <c r="G209" s="2" t="n"/>
      <c r="H209" s="2" t="n"/>
      <c r="I209" s="2" t="n"/>
    </row>
    <row r="210" ht="14.25" customHeight="1" s="46">
      <c r="A210" s="2" t="n"/>
      <c r="B210" s="2" t="n"/>
      <c r="C210" s="2" t="n"/>
      <c r="D210" s="2" t="n"/>
      <c r="E210" s="2" t="n"/>
      <c r="F210" s="2" t="n"/>
      <c r="G210" s="2" t="n"/>
      <c r="H210" s="2" t="n"/>
      <c r="I210" s="2" t="n"/>
    </row>
    <row r="211" ht="14.25" customHeight="1" s="46">
      <c r="A211" s="2" t="n"/>
      <c r="B211" s="2" t="n"/>
      <c r="C211" s="2" t="n"/>
      <c r="D211" s="2" t="n"/>
      <c r="E211" s="2" t="n"/>
      <c r="F211" s="2" t="n"/>
      <c r="G211" s="2" t="n"/>
      <c r="H211" s="2" t="n"/>
      <c r="I211" s="2" t="n"/>
    </row>
    <row r="212" ht="14.25" customHeight="1" s="46">
      <c r="A212" s="2" t="n"/>
      <c r="B212" s="2" t="n"/>
      <c r="C212" s="2" t="n"/>
      <c r="D212" s="2" t="n"/>
      <c r="E212" s="2" t="n"/>
      <c r="F212" s="2" t="n"/>
      <c r="G212" s="2" t="n"/>
      <c r="H212" s="2" t="n"/>
      <c r="I212" s="2" t="n"/>
    </row>
    <row r="213" ht="14.25" customHeight="1" s="46">
      <c r="A213" s="2" t="n"/>
      <c r="B213" s="2" t="n"/>
      <c r="C213" s="2" t="n"/>
      <c r="D213" s="2" t="n"/>
      <c r="E213" s="2" t="n"/>
      <c r="F213" s="2" t="n"/>
      <c r="G213" s="2" t="n"/>
      <c r="H213" s="2" t="n"/>
      <c r="I213" s="2" t="n"/>
    </row>
    <row r="214" ht="14.25" customHeight="1" s="46">
      <c r="A214" s="2" t="n"/>
      <c r="B214" s="2" t="n"/>
      <c r="C214" s="2" t="n"/>
      <c r="D214" s="2" t="n"/>
      <c r="E214" s="2" t="n"/>
      <c r="F214" s="2" t="n"/>
      <c r="G214" s="2" t="n"/>
      <c r="H214" s="2" t="n"/>
      <c r="I214" s="2" t="n"/>
    </row>
    <row r="215" ht="14.25" customHeight="1" s="46">
      <c r="A215" s="2" t="n"/>
      <c r="B215" s="2" t="n"/>
      <c r="C215" s="2" t="n"/>
      <c r="D215" s="2" t="n"/>
      <c r="E215" s="2" t="n"/>
      <c r="F215" s="2" t="n"/>
      <c r="G215" s="2" t="n"/>
      <c r="H215" s="2" t="n"/>
      <c r="I215" s="2" t="n"/>
    </row>
    <row r="216" ht="14.25" customHeight="1" s="46">
      <c r="A216" s="2" t="n"/>
      <c r="B216" s="2" t="n"/>
      <c r="C216" s="2" t="n"/>
      <c r="D216" s="2" t="n"/>
      <c r="E216" s="2" t="n"/>
      <c r="F216" s="2" t="n"/>
      <c r="G216" s="2" t="n"/>
      <c r="H216" s="2" t="n"/>
      <c r="I216" s="2" t="n"/>
    </row>
    <row r="217" ht="14.25" customHeight="1" s="46">
      <c r="A217" s="2" t="n"/>
      <c r="B217" s="2" t="n"/>
      <c r="C217" s="2" t="n"/>
      <c r="D217" s="2" t="n"/>
      <c r="E217" s="2" t="n"/>
      <c r="F217" s="2" t="n"/>
      <c r="G217" s="2" t="n"/>
      <c r="H217" s="2" t="n"/>
      <c r="I217" s="2" t="n"/>
    </row>
    <row r="218" ht="14.25" customHeight="1" s="46">
      <c r="A218" s="2" t="n"/>
      <c r="B218" s="2" t="n"/>
      <c r="C218" s="2" t="n"/>
      <c r="D218" s="2" t="n"/>
      <c r="E218" s="2" t="n"/>
      <c r="F218" s="2" t="n"/>
      <c r="G218" s="2" t="n"/>
      <c r="H218" s="2" t="n"/>
      <c r="I218" s="2" t="n"/>
    </row>
    <row r="219" ht="14.25" customHeight="1" s="46">
      <c r="A219" s="2" t="n"/>
      <c r="B219" s="2" t="n"/>
      <c r="C219" s="2" t="n"/>
      <c r="D219" s="2" t="n"/>
      <c r="E219" s="2" t="n"/>
      <c r="F219" s="2" t="n"/>
      <c r="G219" s="2" t="n"/>
      <c r="H219" s="2" t="n"/>
      <c r="I219" s="2" t="n"/>
    </row>
    <row r="220" ht="14.25" customHeight="1" s="46">
      <c r="A220" s="2" t="n"/>
      <c r="B220" s="2" t="n"/>
      <c r="C220" s="2" t="n"/>
      <c r="D220" s="2" t="n"/>
      <c r="E220" s="2" t="n"/>
      <c r="F220" s="2" t="n"/>
      <c r="G220" s="2" t="n"/>
      <c r="H220" s="2" t="n"/>
      <c r="I220" s="2" t="n"/>
    </row>
    <row r="221" ht="14.25" customHeight="1" s="46">
      <c r="A221" s="2" t="n"/>
      <c r="B221" s="2" t="n"/>
      <c r="C221" s="2" t="n"/>
      <c r="D221" s="2" t="n"/>
      <c r="E221" s="2" t="n"/>
      <c r="F221" s="2" t="n"/>
      <c r="G221" s="2" t="n"/>
      <c r="H221" s="2" t="n"/>
      <c r="I221" s="2" t="n"/>
    </row>
    <row r="222" ht="14.25" customHeight="1" s="46">
      <c r="A222" s="2" t="n"/>
      <c r="B222" s="2" t="n"/>
      <c r="C222" s="2" t="n"/>
      <c r="D222" s="2" t="n"/>
      <c r="E222" s="2" t="n"/>
      <c r="F222" s="2" t="n"/>
      <c r="G222" s="2" t="n"/>
      <c r="H222" s="2" t="n"/>
      <c r="I222" s="2" t="n"/>
    </row>
    <row r="223" ht="14.25" customHeight="1" s="46">
      <c r="A223" s="2" t="n"/>
      <c r="B223" s="2" t="n"/>
      <c r="C223" s="2" t="n"/>
      <c r="D223" s="2" t="n"/>
      <c r="E223" s="2" t="n"/>
      <c r="F223" s="2" t="n"/>
      <c r="G223" s="2" t="n"/>
      <c r="H223" s="2" t="n"/>
      <c r="I223" s="2" t="n"/>
    </row>
    <row r="224" ht="14.25" customHeight="1" s="46">
      <c r="A224" s="2" t="n"/>
      <c r="B224" s="2" t="n"/>
      <c r="C224" s="2" t="n"/>
      <c r="D224" s="2" t="n"/>
      <c r="E224" s="2" t="n"/>
      <c r="F224" s="2" t="n"/>
      <c r="G224" s="2" t="n"/>
      <c r="H224" s="2" t="n"/>
      <c r="I224" s="2" t="n"/>
    </row>
    <row r="225" ht="14.25" customHeight="1" s="46">
      <c r="A225" s="2" t="n"/>
      <c r="B225" s="2" t="n"/>
      <c r="C225" s="2" t="n"/>
      <c r="D225" s="2" t="n"/>
      <c r="E225" s="2" t="n"/>
      <c r="F225" s="2" t="n"/>
      <c r="G225" s="2" t="n"/>
      <c r="H225" s="2" t="n"/>
      <c r="I225" s="2" t="n"/>
    </row>
    <row r="226" ht="14.25" customHeight="1" s="46">
      <c r="A226" s="2" t="n"/>
      <c r="B226" s="2" t="n"/>
      <c r="C226" s="2" t="n"/>
      <c r="D226" s="2" t="n"/>
      <c r="E226" s="2" t="n"/>
      <c r="F226" s="2" t="n"/>
      <c r="G226" s="2" t="n"/>
      <c r="H226" s="2" t="n"/>
      <c r="I226" s="2" t="n"/>
    </row>
    <row r="227" ht="14.25" customHeight="1" s="46">
      <c r="A227" s="2" t="n"/>
      <c r="B227" s="2" t="n"/>
      <c r="C227" s="2" t="n"/>
      <c r="D227" s="2" t="n"/>
      <c r="E227" s="2" t="n"/>
      <c r="F227" s="2" t="n"/>
      <c r="G227" s="2" t="n"/>
      <c r="H227" s="2" t="n"/>
      <c r="I227" s="2" t="n"/>
    </row>
    <row r="228" ht="14.25" customHeight="1" s="46">
      <c r="A228" s="2" t="n"/>
      <c r="B228" s="2" t="n"/>
      <c r="C228" s="2" t="n"/>
      <c r="D228" s="2" t="n"/>
      <c r="E228" s="2" t="n"/>
      <c r="F228" s="2" t="n"/>
      <c r="G228" s="2" t="n"/>
      <c r="H228" s="2" t="n"/>
      <c r="I228" s="2" t="n"/>
    </row>
    <row r="229" ht="14.25" customHeight="1" s="46">
      <c r="A229" s="2" t="n"/>
      <c r="B229" s="2" t="n"/>
      <c r="C229" s="2" t="n"/>
      <c r="D229" s="2" t="n"/>
      <c r="E229" s="2" t="n"/>
      <c r="F229" s="2" t="n"/>
      <c r="G229" s="2" t="n"/>
      <c r="H229" s="2" t="n"/>
      <c r="I229" s="2" t="n"/>
    </row>
    <row r="230" ht="14.25" customHeight="1" s="46">
      <c r="A230" s="2" t="n"/>
      <c r="B230" s="2" t="n"/>
      <c r="C230" s="2" t="n"/>
      <c r="D230" s="2" t="n"/>
      <c r="E230" s="2" t="n"/>
      <c r="F230" s="2" t="n"/>
      <c r="G230" s="2" t="n"/>
      <c r="H230" s="2" t="n"/>
      <c r="I230" s="2" t="n"/>
    </row>
    <row r="231" ht="14.25" customHeight="1" s="46">
      <c r="A231" s="2" t="n"/>
      <c r="B231" s="2" t="n"/>
      <c r="C231" s="2" t="n"/>
      <c r="D231" s="2" t="n"/>
      <c r="E231" s="2" t="n"/>
      <c r="F231" s="2" t="n"/>
      <c r="G231" s="2" t="n"/>
      <c r="H231" s="2" t="n"/>
      <c r="I231" s="2" t="n"/>
    </row>
    <row r="232" ht="14.25" customHeight="1" s="46">
      <c r="A232" s="2" t="n"/>
      <c r="B232" s="2" t="n"/>
      <c r="C232" s="2" t="n"/>
      <c r="D232" s="2" t="n"/>
      <c r="E232" s="2" t="n"/>
      <c r="F232" s="2" t="n"/>
      <c r="G232" s="2" t="n"/>
      <c r="H232" s="2" t="n"/>
      <c r="I232" s="2" t="n"/>
    </row>
    <row r="233" ht="14.25" customHeight="1" s="46">
      <c r="A233" s="2" t="n"/>
      <c r="B233" s="2" t="n"/>
      <c r="C233" s="2" t="n"/>
      <c r="D233" s="2" t="n"/>
      <c r="E233" s="2" t="n"/>
      <c r="F233" s="2" t="n"/>
      <c r="G233" s="2" t="n"/>
      <c r="H233" s="2" t="n"/>
      <c r="I233" s="2" t="n"/>
    </row>
    <row r="234" ht="14.25" customHeight="1" s="46">
      <c r="A234" s="2" t="n"/>
      <c r="B234" s="2" t="n"/>
      <c r="C234" s="2" t="n"/>
      <c r="D234" s="2" t="n"/>
      <c r="E234" s="2" t="n"/>
      <c r="F234" s="2" t="n"/>
      <c r="G234" s="2" t="n"/>
      <c r="H234" s="2" t="n"/>
      <c r="I234" s="2" t="n"/>
    </row>
    <row r="235" ht="14.25" customHeight="1" s="46">
      <c r="A235" s="2" t="n"/>
      <c r="B235" s="2" t="n"/>
      <c r="C235" s="2" t="n"/>
      <c r="D235" s="2" t="n"/>
      <c r="E235" s="2" t="n"/>
      <c r="F235" s="2" t="n"/>
      <c r="G235" s="2" t="n"/>
      <c r="H235" s="2" t="n"/>
      <c r="I235" s="2" t="n"/>
    </row>
    <row r="236" ht="14.25" customHeight="1" s="46">
      <c r="A236" s="2" t="n"/>
      <c r="B236" s="2" t="n"/>
      <c r="C236" s="2" t="n"/>
      <c r="D236" s="2" t="n"/>
      <c r="E236" s="2" t="n"/>
      <c r="F236" s="2" t="n"/>
      <c r="G236" s="2" t="n"/>
      <c r="H236" s="2" t="n"/>
      <c r="I236" s="2" t="n"/>
    </row>
    <row r="237" ht="14.25" customHeight="1" s="46">
      <c r="A237" s="2" t="n"/>
      <c r="B237" s="2" t="n"/>
      <c r="C237" s="2" t="n"/>
      <c r="D237" s="2" t="n"/>
      <c r="E237" s="2" t="n"/>
      <c r="F237" s="2" t="n"/>
      <c r="G237" s="2" t="n"/>
      <c r="H237" s="2" t="n"/>
      <c r="I237" s="2" t="n"/>
    </row>
    <row r="238" ht="14.25" customHeight="1" s="46">
      <c r="A238" s="2" t="n"/>
      <c r="B238" s="2" t="n"/>
      <c r="C238" s="2" t="n"/>
      <c r="D238" s="2" t="n"/>
      <c r="E238" s="2" t="n"/>
      <c r="F238" s="2" t="n"/>
      <c r="G238" s="2" t="n"/>
      <c r="H238" s="2" t="n"/>
      <c r="I238" s="2" t="n"/>
    </row>
    <row r="239" ht="14.25" customHeight="1" s="46">
      <c r="A239" s="2" t="n"/>
      <c r="B239" s="2" t="n"/>
      <c r="C239" s="2" t="n"/>
      <c r="D239" s="2" t="n"/>
      <c r="E239" s="2" t="n"/>
      <c r="F239" s="2" t="n"/>
      <c r="G239" s="2" t="n"/>
      <c r="H239" s="2" t="n"/>
      <c r="I239" s="2" t="n"/>
    </row>
    <row r="240" ht="14.25" customHeight="1" s="46">
      <c r="A240" s="2" t="n"/>
      <c r="B240" s="2" t="n"/>
      <c r="C240" s="2" t="n"/>
      <c r="D240" s="2" t="n"/>
      <c r="E240" s="2" t="n"/>
      <c r="F240" s="2" t="n"/>
      <c r="G240" s="2" t="n"/>
      <c r="H240" s="2" t="n"/>
      <c r="I240" s="2" t="n"/>
    </row>
    <row r="241" ht="14.25" customHeight="1" s="46">
      <c r="A241" s="2" t="n"/>
      <c r="B241" s="2" t="n"/>
      <c r="C241" s="2" t="n"/>
      <c r="D241" s="2" t="n"/>
      <c r="E241" s="2" t="n"/>
      <c r="F241" s="2" t="n"/>
      <c r="G241" s="2" t="n"/>
      <c r="H241" s="2" t="n"/>
      <c r="I241" s="2" t="n"/>
    </row>
    <row r="242" ht="14.25" customHeight="1" s="46">
      <c r="A242" s="2" t="n"/>
      <c r="B242" s="2" t="n"/>
      <c r="C242" s="2" t="n"/>
      <c r="D242" s="2" t="n"/>
      <c r="E242" s="2" t="n"/>
      <c r="F242" s="2" t="n"/>
      <c r="G242" s="2" t="n"/>
      <c r="H242" s="2" t="n"/>
      <c r="I242" s="2" t="n"/>
    </row>
    <row r="243" ht="14.25" customHeight="1" s="46">
      <c r="A243" s="2" t="n"/>
      <c r="B243" s="2" t="n"/>
      <c r="C243" s="2" t="n"/>
      <c r="D243" s="2" t="n"/>
      <c r="E243" s="2" t="n"/>
      <c r="F243" s="2" t="n"/>
      <c r="G243" s="2" t="n"/>
      <c r="H243" s="2" t="n"/>
      <c r="I243" s="2" t="n"/>
    </row>
    <row r="244" ht="14.25" customHeight="1" s="46">
      <c r="A244" s="2" t="n"/>
      <c r="B244" s="2" t="n"/>
      <c r="C244" s="2" t="n"/>
      <c r="D244" s="2" t="n"/>
      <c r="E244" s="2" t="n"/>
      <c r="F244" s="2" t="n"/>
      <c r="G244" s="2" t="n"/>
      <c r="H244" s="2" t="n"/>
      <c r="I244" s="2" t="n"/>
    </row>
    <row r="245" ht="14.25" customHeight="1" s="46">
      <c r="A245" s="2" t="n"/>
      <c r="B245" s="2" t="n"/>
      <c r="C245" s="2" t="n"/>
      <c r="D245" s="2" t="n"/>
      <c r="E245" s="2" t="n"/>
      <c r="F245" s="2" t="n"/>
      <c r="G245" s="2" t="n"/>
      <c r="H245" s="2" t="n"/>
      <c r="I245" s="2" t="n"/>
    </row>
    <row r="246" ht="14.25" customHeight="1" s="46">
      <c r="A246" s="2" t="n"/>
      <c r="B246" s="2" t="n"/>
      <c r="C246" s="2" t="n"/>
      <c r="D246" s="2" t="n"/>
      <c r="E246" s="2" t="n"/>
      <c r="F246" s="2" t="n"/>
      <c r="G246" s="2" t="n"/>
      <c r="H246" s="2" t="n"/>
      <c r="I246" s="2" t="n"/>
    </row>
    <row r="247" ht="14.25" customHeight="1" s="46">
      <c r="A247" s="2" t="n"/>
      <c r="B247" s="2" t="n"/>
      <c r="C247" s="2" t="n"/>
      <c r="D247" s="2" t="n"/>
      <c r="E247" s="2" t="n"/>
      <c r="F247" s="2" t="n"/>
      <c r="G247" s="2" t="n"/>
      <c r="H247" s="2" t="n"/>
      <c r="I247" s="2" t="n"/>
    </row>
    <row r="248" ht="14.25" customHeight="1" s="46">
      <c r="A248" s="2" t="n"/>
      <c r="B248" s="2" t="n"/>
      <c r="C248" s="2" t="n"/>
      <c r="D248" s="2" t="n"/>
      <c r="E248" s="2" t="n"/>
      <c r="F248" s="2" t="n"/>
      <c r="G248" s="2" t="n"/>
      <c r="H248" s="2" t="n"/>
      <c r="I248" s="2" t="n"/>
    </row>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D220"/>
  <sheetViews>
    <sheetView workbookViewId="0">
      <selection activeCell="A1" sqref="A1"/>
    </sheetView>
  </sheetViews>
  <sheetFormatPr baseColWidth="8" defaultColWidth="14.43" defaultRowHeight="15" customHeight="1"/>
  <cols>
    <col width="30" customWidth="1" style="46" min="1" max="1"/>
    <col width="14" customWidth="1" style="46" min="2" max="2"/>
    <col width="56" customWidth="1" style="46" min="3" max="3"/>
    <col width="50" customWidth="1" style="46" min="4" max="4"/>
    <col width="8.57" customWidth="1" style="46" min="5" max="6"/>
  </cols>
  <sheetData>
    <row r="1" ht="17.25" customHeight="1" s="46">
      <c r="A1" s="1" t="inlineStr">
        <is>
          <t>What scales with the crew today (code check)</t>
        </is>
      </c>
      <c r="B1" s="2" t="n"/>
      <c r="C1" s="2" t="n"/>
      <c r="D1" s="2" t="n"/>
    </row>
    <row r="2" ht="15" customHeight="1" s="46">
      <c r="A2" s="3" t="inlineStr">
        <is>
          <t>Read from the game's code as it stands. Rows marked "No" are fixed in the rework (G20).</t>
        </is>
      </c>
      <c r="B2" s="2" t="n"/>
      <c r="C2" s="2" t="n"/>
      <c r="D2" s="2" t="n"/>
    </row>
    <row r="3" ht="14.25" customHeight="1" s="46">
      <c r="A3" s="2" t="n"/>
      <c r="B3" s="2" t="n"/>
      <c r="C3" s="2" t="n"/>
      <c r="D3" s="2" t="n"/>
    </row>
    <row r="4" ht="15" customHeight="1" s="46">
      <c r="A4" s="6" t="inlineStr">
        <is>
          <t>What</t>
        </is>
      </c>
      <c r="B4" s="6" t="inlineStr">
        <is>
          <t>Scales with crew today?</t>
        </is>
      </c>
      <c r="C4" s="6" t="inlineStr">
        <is>
          <t>How it works now</t>
        </is>
      </c>
      <c r="D4" s="6" t="inlineStr">
        <is>
          <t>In the rework</t>
        </is>
      </c>
    </row>
    <row r="5" ht="23.25" customHeight="1" s="46">
      <c r="A5" s="7" t="inlineStr">
        <is>
          <t>Workshop and gatherer output</t>
        </is>
      </c>
      <c r="B5" s="30" t="inlineStr">
        <is>
          <t>Yes</t>
        </is>
      </c>
      <c r="C5" s="7" t="inlineStr">
        <is>
          <t>Work per day = filled places / places, times walking efficiency, mood, learning and worn gear.</t>
        </is>
      </c>
      <c r="D5" s="7" t="inlineStr">
        <is>
          <t>Keep.</t>
        </is>
      </c>
    </row>
    <row r="6" ht="15" customHeight="1" s="46">
      <c r="A6" s="7" t="inlineStr">
        <is>
          <t>Upkeep (tools, wood parts)</t>
        </is>
      </c>
      <c r="B6" s="30" t="inlineStr">
        <is>
          <t>Yes</t>
        </is>
      </c>
      <c r="C6" s="7" t="inlineStr">
        <is>
          <t>Wear per day = rate times filled share of the crew.</t>
        </is>
      </c>
      <c r="D6" s="7" t="inlineStr">
        <is>
          <t>Keep.</t>
        </is>
      </c>
    </row>
    <row r="7" ht="15" customHeight="1" s="46">
      <c r="A7" s="7" t="inlineStr">
        <is>
          <t>Farm fields</t>
        </is>
      </c>
      <c r="B7" s="30" t="inlineStr">
        <is>
          <t>Yes</t>
        </is>
      </c>
      <c r="C7" s="7" t="inlineStr">
        <is>
          <t>Crop growth = farmers at work / tiles to tend.</t>
        </is>
      </c>
      <c r="D7" s="7" t="inlineStr">
        <is>
          <t>Keep.</t>
        </is>
      </c>
    </row>
    <row r="8" ht="15" customHeight="1" s="46">
      <c r="A8" s="7" t="inlineStr">
        <is>
          <t>Herds</t>
        </is>
      </c>
      <c r="B8" s="30" t="inlineStr">
        <is>
          <t>Yes</t>
        </is>
      </c>
      <c r="C8" s="7" t="inlineStr">
        <is>
          <t>Herders' share of the crew scales the yield.</t>
        </is>
      </c>
      <c r="D8" s="7" t="inlineStr">
        <is>
          <t>Keep.</t>
        </is>
      </c>
    </row>
    <row r="9" ht="15" customHeight="1" s="46">
      <c r="A9" s="7" t="inlineStr">
        <is>
          <t>Orchard picking</t>
        </is>
      </c>
      <c r="B9" s="30" t="inlineStr">
        <is>
          <t>Yes</t>
        </is>
      </c>
      <c r="C9" s="7" t="inlineStr">
        <is>
          <t>Fruit picked = pickers times a daily rate.</t>
        </is>
      </c>
      <c r="D9" s="7" t="inlineStr">
        <is>
          <t>Keep.</t>
        </is>
      </c>
    </row>
    <row r="10" ht="15" customHeight="1" s="46">
      <c r="A10" s="7" t="inlineStr">
        <is>
          <t>Market stalls</t>
        </is>
      </c>
      <c r="B10" s="30" t="inlineStr">
        <is>
          <t>Yes</t>
        </is>
      </c>
      <c r="C10" s="7" t="inlineStr">
        <is>
          <t>Each stallholder opens one stall serving ten households.</t>
        </is>
      </c>
      <c r="D10" s="7" t="inlineStr">
        <is>
          <t>Keep; maximum stalls also depend on space (your note).</t>
        </is>
      </c>
    </row>
    <row r="11" ht="15" customHeight="1" s="46">
      <c r="A11" s="7" t="inlineStr">
        <is>
          <t>Alehouse / tavern</t>
        </is>
      </c>
      <c r="B11" s="31" t="inlineStr">
        <is>
          <t>No</t>
        </is>
      </c>
      <c r="C11" s="7" t="inlineStr">
        <is>
          <t>Pours for every home in reach as soon as one tapster works.</t>
        </is>
      </c>
      <c r="D11" s="7" t="inlineStr">
        <is>
          <t>Homes served by tapsters at work (your note).</t>
        </is>
      </c>
    </row>
    <row r="12" ht="15" customHeight="1" s="46">
      <c r="A12" s="7" t="inlineStr">
        <is>
          <t>Trading post and dock</t>
        </is>
      </c>
      <c r="B12" s="31" t="inlineStr">
        <is>
          <t>No</t>
        </is>
      </c>
      <c r="C12" s="7" t="inlineStr">
        <is>
          <t>Full monthly cargo with a single worker.</t>
        </is>
      </c>
      <c r="D12" s="7" t="inlineStr">
        <is>
          <t>Cargo by the crew at work.</t>
        </is>
      </c>
    </row>
    <row r="13" ht="15" customHeight="1" s="46">
      <c r="A13" s="7" t="inlineStr">
        <is>
          <t>Storehouse and granary haulers</t>
        </is>
      </c>
      <c r="B13" s="31" t="inlineStr">
        <is>
          <t>No</t>
        </is>
      </c>
      <c r="C13" s="7" t="inlineStr">
        <is>
          <t>One hauler anywhere and every workplace's goods are fetched.</t>
        </is>
      </c>
      <c r="D13" s="7" t="inlineStr">
        <is>
          <t>Each hauler fetches so many loads a day.</t>
        </is>
      </c>
    </row>
    <row r="14" ht="15" customHeight="1" s="46">
      <c r="A14" s="7" t="inlineStr">
        <is>
          <t>Builder's yard</t>
        </is>
      </c>
      <c r="B14" s="31" t="inlineStr">
        <is>
          <t>No</t>
        </is>
      </c>
      <c r="C14" s="7" t="inlineStr">
        <is>
          <t>Full speed-up with any worker and its ox.</t>
        </is>
      </c>
      <c r="D14" s="7" t="inlineStr">
        <is>
          <t>Speed-up by the crew at work.</t>
        </is>
      </c>
    </row>
    <row r="15" ht="15" customHeight="1" s="46">
      <c r="A15" s="7" t="inlineStr">
        <is>
          <t>Monastery, university</t>
        </is>
      </c>
      <c r="B15" s="31" t="inlineStr">
        <is>
          <t>No</t>
        </is>
      </c>
      <c r="C15" s="7" t="inlineStr">
        <is>
          <t>Fed with books and anyone at work: full knowledge and prestige.</t>
        </is>
      </c>
      <c r="D15" s="7" t="inlineStr">
        <is>
          <t>Knowledge by the crew at work.</t>
        </is>
      </c>
    </row>
    <row r="16" ht="15" customHeight="1" s="46">
      <c r="A16" s="7" t="inlineStr">
        <is>
          <t>Scriptorium knowledge</t>
        </is>
      </c>
      <c r="B16" s="31" t="inlineStr">
        <is>
          <t>No</t>
        </is>
      </c>
      <c r="C16" s="7" t="inlineStr">
        <is>
          <t>+1 knowledge a month with anyone at work.</t>
        </is>
      </c>
      <c r="D16" s="7" t="inlineStr">
        <is>
          <t>By the crew at work.</t>
        </is>
      </c>
    </row>
    <row r="17" ht="15" customHeight="1" s="46">
      <c r="A17" s="7" t="inlineStr">
        <is>
          <t>Church (coverage)</t>
        </is>
      </c>
      <c r="B17" s="31" t="inlineStr">
        <is>
          <t>No</t>
        </is>
      </c>
      <c r="C17" s="7" t="inlineStr">
        <is>
          <t>Serves its area with its one priest.</t>
        </is>
      </c>
      <c r="D17" s="7" t="inlineStr">
        <is>
          <t>Fine with one place; stays.</t>
        </is>
      </c>
    </row>
    <row r="18" ht="15" customHeight="1" s="46">
      <c r="A18" s="7" t="inlineStr">
        <is>
          <t>Stable, watchtower</t>
        </is>
      </c>
      <c r="B18" s="31" t="inlineStr">
        <is>
          <t>No</t>
        </is>
      </c>
      <c r="C18" s="7" t="inlineStr">
        <is>
          <t>One groom or watchman: on or off.</t>
        </is>
      </c>
      <c r="D18" s="7" t="inlineStr">
        <is>
          <t>Fine with one place; stays.</t>
        </is>
      </c>
    </row>
    <row r="19" ht="14.25" customHeight="1" s="46">
      <c r="A19" s="2" t="n"/>
      <c r="B19" s="2" t="n"/>
      <c r="C19" s="2" t="n"/>
      <c r="D19" s="2" t="n"/>
    </row>
    <row r="20" ht="14.25" customHeight="1" s="46">
      <c r="A20" s="2" t="n"/>
      <c r="B20" s="2" t="n"/>
      <c r="C20" s="2" t="n"/>
      <c r="D20" s="2" t="n"/>
    </row>
    <row r="21" ht="14.25" customHeight="1" s="46">
      <c r="A21" s="2" t="n"/>
      <c r="B21" s="2" t="n"/>
      <c r="C21" s="2" t="n"/>
      <c r="D21" s="2" t="n"/>
    </row>
    <row r="22" ht="14.25" customHeight="1" s="46">
      <c r="A22" s="2" t="n"/>
      <c r="B22" s="2" t="n"/>
      <c r="C22" s="2" t="n"/>
      <c r="D22" s="2" t="n"/>
    </row>
    <row r="23" ht="14.25" customHeight="1" s="46">
      <c r="A23" s="2" t="n"/>
      <c r="B23" s="2" t="n"/>
      <c r="C23" s="2" t="n"/>
      <c r="D23" s="2" t="n"/>
    </row>
    <row r="24" ht="14.25" customHeight="1" s="46">
      <c r="A24" s="2" t="n"/>
      <c r="B24" s="2" t="n"/>
      <c r="C24" s="2" t="n"/>
      <c r="D24" s="2" t="n"/>
    </row>
    <row r="25" ht="14.25" customHeight="1" s="46">
      <c r="A25" s="2" t="n"/>
      <c r="B25" s="2" t="n"/>
      <c r="C25" s="2" t="n"/>
      <c r="D25" s="2" t="n"/>
    </row>
    <row r="26" ht="14.25" customHeight="1" s="46">
      <c r="A26" s="2" t="n"/>
      <c r="B26" s="2" t="n"/>
      <c r="C26" s="2" t="n"/>
      <c r="D26" s="2" t="n"/>
    </row>
    <row r="27" ht="14.25" customHeight="1" s="46">
      <c r="A27" s="2" t="n"/>
      <c r="B27" s="2" t="n"/>
      <c r="C27" s="2" t="n"/>
      <c r="D27" s="2" t="n"/>
    </row>
    <row r="28" ht="14.25" customHeight="1" s="46">
      <c r="A28" s="2" t="n"/>
      <c r="B28" s="2" t="n"/>
      <c r="C28" s="2" t="n"/>
      <c r="D28" s="2" t="n"/>
    </row>
    <row r="29" ht="14.25" customHeight="1" s="46">
      <c r="A29" s="2" t="n"/>
      <c r="B29" s="2" t="n"/>
      <c r="C29" s="2" t="n"/>
      <c r="D29" s="2" t="n"/>
    </row>
    <row r="30" ht="14.25" customHeight="1" s="46">
      <c r="A30" s="2" t="n"/>
      <c r="B30" s="2" t="n"/>
      <c r="C30" s="2" t="n"/>
      <c r="D30" s="2" t="n"/>
    </row>
    <row r="31" ht="14.25" customHeight="1" s="46">
      <c r="A31" s="2" t="n"/>
      <c r="B31" s="2" t="n"/>
      <c r="C31" s="2" t="n"/>
      <c r="D31" s="2" t="n"/>
    </row>
    <row r="32" ht="14.25" customHeight="1" s="46">
      <c r="A32" s="2" t="n"/>
      <c r="B32" s="2" t="n"/>
      <c r="C32" s="2" t="n"/>
      <c r="D32" s="2" t="n"/>
    </row>
    <row r="33" ht="14.25" customHeight="1" s="46">
      <c r="A33" s="2" t="n"/>
      <c r="B33" s="2" t="n"/>
      <c r="C33" s="2" t="n"/>
      <c r="D33" s="2" t="n"/>
    </row>
    <row r="34" ht="14.25" customHeight="1" s="46">
      <c r="A34" s="2" t="n"/>
      <c r="B34" s="2" t="n"/>
      <c r="C34" s="2" t="n"/>
      <c r="D34" s="2" t="n"/>
    </row>
    <row r="35" ht="14.25" customHeight="1" s="46">
      <c r="A35" s="2" t="n"/>
      <c r="B35" s="2" t="n"/>
      <c r="C35" s="2" t="n"/>
      <c r="D35" s="2" t="n"/>
    </row>
    <row r="36" ht="14.25" customHeight="1" s="46">
      <c r="A36" s="2" t="n"/>
      <c r="B36" s="2" t="n"/>
      <c r="C36" s="2" t="n"/>
      <c r="D36" s="2" t="n"/>
    </row>
    <row r="37" ht="14.25" customHeight="1" s="46">
      <c r="A37" s="2" t="n"/>
      <c r="B37" s="2" t="n"/>
      <c r="C37" s="2" t="n"/>
      <c r="D37" s="2" t="n"/>
    </row>
    <row r="38" ht="14.25" customHeight="1" s="46">
      <c r="A38" s="2" t="n"/>
      <c r="B38" s="2" t="n"/>
      <c r="C38" s="2" t="n"/>
      <c r="D38" s="2" t="n"/>
    </row>
    <row r="39" ht="14.25" customHeight="1" s="46">
      <c r="A39" s="2" t="n"/>
      <c r="B39" s="2" t="n"/>
      <c r="C39" s="2" t="n"/>
      <c r="D39" s="2" t="n"/>
    </row>
    <row r="40" ht="14.25" customHeight="1" s="46">
      <c r="A40" s="2" t="n"/>
      <c r="B40" s="2" t="n"/>
      <c r="C40" s="2" t="n"/>
      <c r="D40" s="2" t="n"/>
    </row>
    <row r="41" ht="14.25" customHeight="1" s="46">
      <c r="A41" s="2" t="n"/>
      <c r="B41" s="2" t="n"/>
      <c r="C41" s="2" t="n"/>
      <c r="D41" s="2" t="n"/>
    </row>
    <row r="42" ht="14.25" customHeight="1" s="46">
      <c r="A42" s="2" t="n"/>
      <c r="B42" s="2" t="n"/>
      <c r="C42" s="2" t="n"/>
      <c r="D42" s="2" t="n"/>
    </row>
    <row r="43" ht="14.25" customHeight="1" s="46">
      <c r="A43" s="2" t="n"/>
      <c r="B43" s="2" t="n"/>
      <c r="C43" s="2" t="n"/>
      <c r="D43" s="2" t="n"/>
    </row>
    <row r="44" ht="14.25" customHeight="1" s="46">
      <c r="A44" s="2" t="n"/>
      <c r="B44" s="2" t="n"/>
      <c r="C44" s="2" t="n"/>
      <c r="D44" s="2" t="n"/>
    </row>
    <row r="45" ht="14.25" customHeight="1" s="46">
      <c r="A45" s="2" t="n"/>
      <c r="B45" s="2" t="n"/>
      <c r="C45" s="2" t="n"/>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L220"/>
  <sheetViews>
    <sheetView workbookViewId="0">
      <pane ySplit="4" topLeftCell="A5" activePane="bottomLeft" state="frozen"/>
      <selection pane="bottomLeft" activeCell="B6" sqref="B6"/>
    </sheetView>
  </sheetViews>
  <sheetFormatPr baseColWidth="8" defaultColWidth="14.43" defaultRowHeight="15" customHeight="1"/>
  <cols>
    <col width="13" customWidth="1" style="46" min="1" max="1"/>
    <col width="22" customWidth="1" style="46" min="2" max="2"/>
    <col width="9" customWidth="1" style="46" min="3" max="3"/>
    <col width="16" customWidth="1" style="46" min="4" max="4"/>
    <col width="22" customWidth="1" style="46" min="5" max="5"/>
    <col width="9" customWidth="1" style="46" min="6" max="7"/>
    <col width="11" customWidth="1" style="46" min="8" max="8"/>
    <col width="14" customWidth="1" style="46" min="9" max="9"/>
    <col width="40" customWidth="1" style="46" min="10" max="10"/>
    <col width="34" customWidth="1" style="46" min="11" max="11"/>
    <col width="24" customWidth="1" style="46" min="12" max="12"/>
  </cols>
  <sheetData>
    <row r="1" ht="17.25" customHeight="1" s="46">
      <c r="A1" s="1" t="inlineStr">
        <is>
          <t>Step 3: mixed industry and late goods</t>
        </is>
      </c>
      <c r="B1" s="2" t="n"/>
      <c r="C1" s="2" t="n"/>
      <c r="D1" s="2" t="n"/>
      <c r="E1" s="2" t="n"/>
      <c r="F1" s="2" t="n"/>
      <c r="G1" s="2" t="n"/>
      <c r="H1" s="2" t="n"/>
      <c r="I1" s="2" t="n"/>
      <c r="J1" s="2" t="n"/>
      <c r="K1" s="2" t="n"/>
      <c r="L1" s="2" t="n"/>
    </row>
    <row r="2" ht="15" customHeight="1" s="46">
      <c r="A2" s="3" t="inlineStr">
        <is>
          <t>Workshops that join two lines, and the goods at the end of every chain. Same gate rule (G6).</t>
        </is>
      </c>
      <c r="B2" s="2" t="n"/>
      <c r="C2" s="2" t="n"/>
      <c r="D2" s="2" t="n"/>
      <c r="E2" s="2" t="n"/>
      <c r="F2" s="2" t="n"/>
      <c r="G2" s="2" t="n"/>
      <c r="H2" s="2" t="n"/>
      <c r="I2" s="2" t="n"/>
      <c r="J2" s="2" t="n"/>
      <c r="K2" s="2" t="n"/>
      <c r="L2" s="2" t="n"/>
    </row>
    <row r="3" ht="14.25" customHeight="1" s="46">
      <c r="A3" s="2" t="n"/>
      <c r="B3" s="2" t="n"/>
      <c r="C3" s="2" t="n"/>
      <c r="D3" s="2" t="n"/>
      <c r="E3" s="2" t="n"/>
      <c r="F3" s="2" t="n"/>
      <c r="G3" s="2" t="n"/>
      <c r="H3" s="2" t="n"/>
      <c r="I3" s="2" t="n"/>
      <c r="J3" s="2" t="n"/>
      <c r="K3" s="2" t="n"/>
      <c r="L3" s="2" t="n"/>
    </row>
    <row r="4" ht="23.25" customHeight="1" s="46">
      <c r="A4" s="9" t="inlineStr">
        <is>
          <t>Line</t>
        </is>
      </c>
      <c r="B4" s="9" t="inlineStr">
        <is>
          <t>Unlock</t>
        </is>
      </c>
      <c r="C4" s="9" t="inlineStr">
        <is>
          <t>Kind</t>
        </is>
      </c>
      <c r="D4" s="9" t="inlineStr">
        <is>
          <t>Makes</t>
        </is>
      </c>
      <c r="E4" s="9" t="inlineStr">
        <is>
          <t>From</t>
        </is>
      </c>
      <c r="F4" s="9" t="inlineStr">
        <is>
          <t>Gate</t>
        </is>
      </c>
      <c r="G4" s="9" t="inlineStr">
        <is>
          <t>Knowledge</t>
        </is>
      </c>
      <c r="H4" s="9" t="inlineStr">
        <is>
          <t>Upkeep</t>
        </is>
      </c>
      <c r="I4" s="9" t="inlineStr">
        <is>
          <t>Essential for</t>
        </is>
      </c>
      <c r="J4" s="9" t="inlineStr">
        <is>
          <t>Why</t>
        </is>
      </c>
      <c r="K4" s="9" t="inlineStr">
        <is>
          <t>Change from today</t>
        </is>
      </c>
      <c r="L4" s="9" t="inlineStr">
        <is>
          <t>Your notes</t>
        </is>
      </c>
    </row>
    <row r="5" ht="27.75" customHeight="1" s="46">
      <c r="A5" s="7" t="inlineStr">
        <is>
          <t>Garments</t>
        </is>
      </c>
      <c r="B5" s="7" t="inlineStr">
        <is>
          <t>Embroiderer</t>
        </is>
      </c>
      <c r="C5" s="7" t="inlineStr">
        <is>
          <t>Building</t>
        </is>
      </c>
      <c r="D5" s="7" t="inlineStr">
        <is>
          <t>fine clothes</t>
        </is>
      </c>
      <c r="E5" s="7" t="inlineStr">
        <is>
          <t>cloth, dyes</t>
        </is>
      </c>
      <c r="F5" s="11" t="n"/>
      <c r="G5" s="11" t="n">
        <v>10</v>
      </c>
      <c r="H5" s="7" t="inlineStr">
        <is>
          <t>tools</t>
        </is>
      </c>
      <c r="I5" s="7" t="inlineStr">
        <is>
          <t>Patrician House</t>
        </is>
      </c>
      <c r="J5" s="7" t="inlineStr">
        <is>
          <t>Fine clothes get their own building (G16): dyed cloth, embroidered.</t>
        </is>
      </c>
      <c r="K5" s="7" t="inlineStr">
        <is>
          <t>Was a tailor recipe.</t>
        </is>
      </c>
      <c r="L5" s="45" t="n"/>
    </row>
    <row r="6" ht="27.75" customHeight="1" s="46">
      <c r="A6" s="7" t="inlineStr">
        <is>
          <t>Glass</t>
        </is>
      </c>
      <c r="B6" s="7" t="inlineStr">
        <is>
          <t>Glazier's Workshop</t>
        </is>
      </c>
      <c r="C6" s="7" t="inlineStr">
        <is>
          <t>Building</t>
        </is>
      </c>
      <c r="D6" s="7" t="inlineStr">
        <is>
          <t>stained glass</t>
        </is>
      </c>
      <c r="E6" s="7" t="inlineStr">
        <is>
          <t>glass, dyes</t>
        </is>
      </c>
      <c r="F6" s="11" t="n"/>
      <c r="G6" s="11" t="n">
        <v>10</v>
      </c>
      <c r="H6" s="7" t="inlineStr">
        <is>
          <t>tools</t>
        </is>
      </c>
      <c r="I6" s="7" t="inlineStr">
        <is>
          <t>Patrician House</t>
        </is>
      </c>
      <c r="J6" s="7" t="inlineStr">
        <is>
          <t>Coloured panes leaded into windows: churches, the cathedral, the finest homes.</t>
        </is>
      </c>
      <c r="K6" s="7" t="inlineStr">
        <is>
          <t>Was a glassworks recipe.</t>
        </is>
      </c>
      <c r="L6" s="45" t="n"/>
    </row>
    <row r="7" ht="42" customHeight="1" s="46">
      <c r="A7" s="7" t="inlineStr">
        <is>
          <t>Writing</t>
        </is>
      </c>
      <c r="B7" s="7" t="inlineStr">
        <is>
          <t>Tanner: parchment</t>
        </is>
      </c>
      <c r="C7" s="7" t="inlineStr">
        <is>
          <t>Recipe</t>
        </is>
      </c>
      <c r="D7" s="7" t="inlineStr">
        <is>
          <t>parchment</t>
        </is>
      </c>
      <c r="E7" s="7" t="inlineStr">
        <is>
          <t>hides</t>
        </is>
      </c>
      <c r="F7" s="11" t="n"/>
      <c r="G7" s="11" t="n">
        <v>3</v>
      </c>
      <c r="H7" s="7" t="n"/>
      <c r="I7" s="7" t="n"/>
      <c r="J7" s="7" t="inlineStr">
        <is>
          <t>A second writing material: feeds offices and books as well as paper does, but costs hides.</t>
        </is>
      </c>
      <c r="K7" s="7" t="inlineStr">
        <is>
          <t>New good. Hides get a second use.</t>
        </is>
      </c>
      <c r="L7" s="45" t="n"/>
    </row>
    <row r="8" ht="27.75" customHeight="1" s="46">
      <c r="A8" s="7" t="inlineStr">
        <is>
          <t>Writing</t>
        </is>
      </c>
      <c r="B8" s="7" t="inlineStr">
        <is>
          <t>Scriptorium (charter)</t>
        </is>
      </c>
      <c r="C8" s="7" t="inlineStr">
        <is>
          <t>Building</t>
        </is>
      </c>
      <c r="D8" s="7" t="inlineStr">
        <is>
          <t>books, knowledge</t>
        </is>
      </c>
      <c r="E8" s="7" t="inlineStr">
        <is>
          <t>paper or parchment, leather</t>
        </is>
      </c>
      <c r="F8" s="11" t="inlineStr">
        <is>
          <t>charter</t>
        </is>
      </c>
      <c r="G8" s="11" t="n"/>
      <c r="H8" s="7" t="inlineStr">
        <is>
          <t>tools</t>
        </is>
      </c>
      <c r="I8" s="7" t="n"/>
      <c r="J8" s="7" t="inlineStr">
        <is>
          <t>Books stay a charter craft; other towns buy them.</t>
        </is>
      </c>
      <c r="K8" s="7" t="inlineStr">
        <is>
          <t>Books from parchment as well as paper.</t>
        </is>
      </c>
      <c r="L8" s="45" t="n"/>
    </row>
    <row r="9" ht="27.75" customHeight="1" s="46">
      <c r="A9" s="7" t="inlineStr">
        <is>
          <t>Drink</t>
        </is>
      </c>
      <c r="B9" s="7" t="inlineStr">
        <is>
          <t>Brewhouse: mead</t>
        </is>
      </c>
      <c r="C9" s="7" t="inlineStr">
        <is>
          <t>Recipe</t>
        </is>
      </c>
      <c r="D9" s="7" t="inlineStr">
        <is>
          <t>mead</t>
        </is>
      </c>
      <c r="E9" s="7" t="inlineStr">
        <is>
          <t>honey + fuel</t>
        </is>
      </c>
      <c r="F9" s="11" t="n"/>
      <c r="G9" s="11" t="n">
        <v>3</v>
      </c>
      <c r="H9" s="7" t="n"/>
      <c r="I9" s="7" t="n"/>
      <c r="J9" s="7" t="inlineStr">
        <is>
          <t>With the beekeeper every town has honey; mead becomes a third tavern drink.</t>
        </is>
      </c>
      <c r="K9" s="7" t="inlineStr">
        <is>
          <t>Was charter-only. Meadmakers now doubles honey and mead instead.</t>
        </is>
      </c>
      <c r="L9" s="45" t="n"/>
    </row>
    <row r="10" ht="27.75" customHeight="1" s="46">
      <c r="A10" s="7" t="inlineStr">
        <is>
          <t>Drink</t>
        </is>
      </c>
      <c r="B10" s="7" t="inlineStr">
        <is>
          <t>Winery (charter)</t>
        </is>
      </c>
      <c r="C10" s="7" t="inlineStr">
        <is>
          <t>Building</t>
        </is>
      </c>
      <c r="D10" s="7" t="inlineStr">
        <is>
          <t>wine</t>
        </is>
      </c>
      <c r="E10" s="7" t="inlineStr">
        <is>
          <t>grapes, crates</t>
        </is>
      </c>
      <c r="F10" s="11" t="inlineStr">
        <is>
          <t>charter</t>
        </is>
      </c>
      <c r="G10" s="11" t="n"/>
      <c r="H10" s="7" t="inlineStr">
        <is>
          <t>wood parts</t>
        </is>
      </c>
      <c r="I10" s="7" t="n"/>
      <c r="J10" s="7" t="inlineStr">
        <is>
          <t>Wine stays the orchard charter's prize: a luxury and a drink.</t>
        </is>
      </c>
      <c r="K10" s="7" t="n"/>
      <c r="L10" s="45" t="n"/>
    </row>
    <row r="11" ht="27.75" customHeight="1" s="46">
      <c r="A11" s="7" t="inlineStr">
        <is>
          <t>Metal</t>
        </is>
      </c>
      <c r="B11" s="7" t="inlineStr">
        <is>
          <t>Cooper (hoops)</t>
        </is>
      </c>
      <c r="C11" s="7" t="inlineStr">
        <is>
          <t>Building</t>
        </is>
      </c>
      <c r="D11" s="7" t="inlineStr">
        <is>
          <t>crates</t>
        </is>
      </c>
      <c r="E11" s="7" t="inlineStr">
        <is>
          <t>planks, iron</t>
        </is>
      </c>
      <c r="F11" s="11" t="n"/>
      <c r="G11" s="11" t="n">
        <v>3</v>
      </c>
      <c r="H11" s="7" t="inlineStr">
        <is>
          <t>wood parts</t>
        </is>
      </c>
      <c r="I11" s="7" t="n"/>
      <c r="J11" s="7" t="inlineStr">
        <is>
          <t>Iron hoops bind the staves: iron's second use.</t>
        </is>
      </c>
      <c r="K11" s="7" t="inlineStr">
        <is>
          <t>Iron added (your edit). Waits for trade (G7 exception).</t>
        </is>
      </c>
      <c r="L11" s="45" t="n"/>
    </row>
    <row r="12" ht="27.75" customHeight="1" s="46">
      <c r="A12" s="7" t="inlineStr">
        <is>
          <t>Metal</t>
        </is>
      </c>
      <c r="B12" s="7" t="inlineStr">
        <is>
          <t>Jeweller's Shop (charter)</t>
        </is>
      </c>
      <c r="C12" s="7" t="inlineStr">
        <is>
          <t>Building</t>
        </is>
      </c>
      <c r="D12" s="7" t="inlineStr">
        <is>
          <t>jewellery</t>
        </is>
      </c>
      <c r="E12" s="7" t="inlineStr">
        <is>
          <t>silver, glass</t>
        </is>
      </c>
      <c r="F12" s="11" t="inlineStr">
        <is>
          <t>charter</t>
        </is>
      </c>
      <c r="G12" s="11" t="n"/>
      <c r="H12" s="7" t="inlineStr">
        <is>
          <t>tools</t>
        </is>
      </c>
      <c r="I12" s="7" t="n"/>
      <c r="J12" s="7" t="inlineStr">
        <is>
          <t>Silver set with glass beads; silver is bought or comes with Deep Veins.</t>
        </is>
      </c>
      <c r="K12" s="7" t="inlineStr">
        <is>
          <t>Glass added as a second input.</t>
        </is>
      </c>
      <c r="L12" s="45" t="n"/>
    </row>
    <row r="13" ht="14.25" customHeight="1" s="46">
      <c r="A13" s="2" t="n"/>
      <c r="B13" s="2" t="n"/>
      <c r="C13" s="2" t="n"/>
      <c r="D13" s="2" t="n"/>
      <c r="E13" s="2" t="n"/>
      <c r="F13" s="2" t="n"/>
      <c r="G13" s="2" t="n"/>
      <c r="H13" s="2" t="n"/>
      <c r="I13" s="2" t="n"/>
      <c r="J13" s="2" t="n"/>
      <c r="K13" s="2" t="n"/>
      <c r="L13" s="2" t="n"/>
    </row>
    <row r="14" ht="15" customHeight="1" s="46">
      <c r="A14" s="3" t="inlineStr">
        <is>
          <t>Removed: arms (the armoury becomes a manor building, step 5), oats, mushrooms. Not added on purpose: new raw goods. Silver stays bought (or the Deep Veins charter).</t>
        </is>
      </c>
      <c r="B14" s="2" t="n"/>
      <c r="C14" s="2" t="n"/>
      <c r="D14" s="2" t="n"/>
      <c r="E14" s="2" t="n"/>
      <c r="F14" s="2" t="n"/>
      <c r="G14" s="2" t="n"/>
      <c r="H14" s="2" t="n"/>
      <c r="I14" s="2" t="n"/>
      <c r="J14" s="2" t="n"/>
      <c r="K14" s="2" t="n"/>
      <c r="L14" s="2" t="n"/>
    </row>
    <row r="15" ht="14.25" customHeight="1" s="46">
      <c r="A15" s="2" t="n"/>
      <c r="B15" s="2" t="n"/>
      <c r="C15" s="2" t="n"/>
      <c r="D15" s="2" t="n"/>
      <c r="E15" s="2" t="n"/>
      <c r="F15" s="2" t="n"/>
      <c r="G15" s="2" t="n"/>
      <c r="H15" s="2" t="n"/>
      <c r="I15" s="2" t="n"/>
      <c r="J15" s="2" t="n"/>
      <c r="K15" s="2" t="n"/>
      <c r="L15" s="2" t="n"/>
    </row>
    <row r="16" ht="14.25" customHeight="1" s="46">
      <c r="A16" s="2" t="n"/>
      <c r="B16" s="2" t="n"/>
      <c r="C16" s="2" t="n"/>
      <c r="D16" s="2" t="n"/>
      <c r="E16" s="2" t="n"/>
      <c r="F16" s="2" t="n"/>
      <c r="G16" s="2" t="n"/>
      <c r="H16" s="2" t="n"/>
      <c r="I16" s="2" t="n"/>
      <c r="J16" s="2" t="n"/>
      <c r="K16" s="2" t="n"/>
      <c r="L16" s="2" t="n"/>
    </row>
    <row r="17" ht="14.25" customHeight="1" s="46">
      <c r="A17" s="2" t="n"/>
      <c r="B17" s="2" t="n"/>
      <c r="C17" s="2" t="n"/>
      <c r="D17" s="2" t="n"/>
      <c r="E17" s="2" t="n"/>
      <c r="F17" s="2" t="n"/>
      <c r="G17" s="2" t="n"/>
      <c r="H17" s="2" t="n"/>
      <c r="I17" s="2" t="n"/>
      <c r="J17" s="2" t="n"/>
      <c r="K17" s="2" t="n"/>
      <c r="L17" s="2" t="n"/>
    </row>
    <row r="18" ht="14.25" customHeight="1" s="46">
      <c r="A18" s="2" t="n"/>
      <c r="B18" s="2" t="n"/>
      <c r="C18" s="2" t="n"/>
      <c r="D18" s="2" t="n"/>
      <c r="E18" s="2" t="n"/>
      <c r="F18" s="2" t="n"/>
      <c r="G18" s="2" t="n"/>
      <c r="H18" s="2" t="n"/>
      <c r="I18" s="2" t="n"/>
      <c r="J18" s="2" t="n"/>
      <c r="K18" s="2" t="n"/>
      <c r="L18" s="2" t="n"/>
    </row>
    <row r="19" ht="14.25" customHeight="1" s="46">
      <c r="A19" s="2" t="n"/>
      <c r="B19" s="2" t="n"/>
      <c r="C19" s="2" t="n"/>
      <c r="D19" s="2" t="n"/>
      <c r="E19" s="2" t="n"/>
      <c r="F19" s="2" t="n"/>
      <c r="G19" s="2" t="n"/>
      <c r="H19" s="2" t="n"/>
      <c r="I19" s="2" t="n"/>
      <c r="J19" s="2" t="n"/>
      <c r="K19" s="2" t="n"/>
      <c r="L19" s="2" t="n"/>
    </row>
    <row r="20" ht="14.25" customHeight="1" s="46">
      <c r="A20" s="2" t="n"/>
      <c r="B20" s="2" t="n"/>
      <c r="C20" s="2" t="n"/>
      <c r="D20" s="2" t="n"/>
      <c r="E20" s="2" t="n"/>
      <c r="F20" s="2" t="n"/>
      <c r="G20" s="2" t="n"/>
      <c r="H20" s="2" t="n"/>
      <c r="I20" s="2" t="n"/>
      <c r="J20" s="2" t="n"/>
      <c r="K20" s="2" t="n"/>
      <c r="L20" s="2" t="n"/>
    </row>
    <row r="21" ht="14.25" customHeight="1" s="46">
      <c r="A21" s="2" t="n"/>
      <c r="B21" s="2" t="n"/>
      <c r="C21" s="2" t="n"/>
      <c r="D21" s="2" t="n"/>
      <c r="E21" s="2" t="n"/>
      <c r="F21" s="2" t="n"/>
      <c r="G21" s="2" t="n"/>
      <c r="H21" s="2" t="n"/>
      <c r="I21" s="2" t="n"/>
      <c r="J21" s="2" t="n"/>
      <c r="K21" s="2" t="n"/>
      <c r="L21" s="2" t="n"/>
    </row>
    <row r="22" ht="14.25" customHeight="1" s="46">
      <c r="A22" s="2" t="n"/>
      <c r="B22" s="2" t="n"/>
      <c r="C22" s="2" t="n"/>
      <c r="D22" s="2" t="n"/>
      <c r="E22" s="2" t="n"/>
      <c r="F22" s="2" t="n"/>
      <c r="G22" s="2" t="n"/>
      <c r="H22" s="2" t="n"/>
      <c r="I22" s="2" t="n"/>
      <c r="J22" s="2" t="n"/>
      <c r="K22" s="2" t="n"/>
      <c r="L22" s="2" t="n"/>
    </row>
    <row r="23" ht="14.25" customHeight="1" s="46">
      <c r="A23" s="2" t="n"/>
      <c r="B23" s="2" t="n"/>
      <c r="C23" s="2" t="n"/>
      <c r="D23" s="2" t="n"/>
      <c r="E23" s="2" t="n"/>
      <c r="F23" s="2" t="n"/>
      <c r="G23" s="2" t="n"/>
      <c r="H23" s="2" t="n"/>
      <c r="I23" s="2" t="n"/>
      <c r="J23" s="2" t="n"/>
      <c r="K23" s="2" t="n"/>
      <c r="L23" s="2" t="n"/>
    </row>
    <row r="24" ht="14.25" customHeight="1" s="46">
      <c r="A24" s="2" t="n"/>
      <c r="B24" s="2" t="n"/>
      <c r="C24" s="2" t="n"/>
      <c r="D24" s="2" t="n"/>
      <c r="E24" s="2" t="n"/>
      <c r="F24" s="2" t="n"/>
      <c r="G24" s="2" t="n"/>
      <c r="H24" s="2" t="n"/>
      <c r="I24" s="2" t="n"/>
      <c r="J24" s="2" t="n"/>
      <c r="K24" s="2" t="n"/>
      <c r="L24" s="2" t="n"/>
    </row>
    <row r="25" ht="14.25" customHeight="1" s="46">
      <c r="A25" s="2" t="n"/>
      <c r="B25" s="2" t="n"/>
      <c r="C25" s="2" t="n"/>
      <c r="D25" s="2" t="n"/>
      <c r="E25" s="2" t="n"/>
      <c r="F25" s="2" t="n"/>
      <c r="G25" s="2" t="n"/>
      <c r="H25" s="2" t="n"/>
      <c r="I25" s="2" t="n"/>
      <c r="J25" s="2" t="n"/>
      <c r="K25" s="2" t="n"/>
      <c r="L25" s="2" t="n"/>
    </row>
    <row r="26" ht="14.25" customHeight="1" s="46">
      <c r="A26" s="2" t="n"/>
      <c r="B26" s="2" t="n"/>
      <c r="C26" s="2" t="n"/>
      <c r="D26" s="2" t="n"/>
      <c r="E26" s="2" t="n"/>
      <c r="F26" s="2" t="n"/>
      <c r="G26" s="2" t="n"/>
      <c r="H26" s="2" t="n"/>
      <c r="I26" s="2" t="n"/>
      <c r="J26" s="2" t="n"/>
      <c r="K26" s="2" t="n"/>
      <c r="L26" s="2" t="n"/>
    </row>
    <row r="27" ht="14.25" customHeight="1" s="46">
      <c r="A27" s="2" t="n"/>
      <c r="B27" s="2" t="n"/>
      <c r="C27" s="2" t="n"/>
      <c r="D27" s="2" t="n"/>
      <c r="E27" s="2" t="n"/>
      <c r="F27" s="2" t="n"/>
      <c r="G27" s="2" t="n"/>
      <c r="H27" s="2" t="n"/>
      <c r="I27" s="2" t="n"/>
      <c r="J27" s="2" t="n"/>
      <c r="K27" s="2" t="n"/>
      <c r="L27" s="2" t="n"/>
    </row>
    <row r="28" ht="14.25" customHeight="1" s="46">
      <c r="A28" s="2" t="n"/>
      <c r="B28" s="2" t="n"/>
      <c r="C28" s="2" t="n"/>
      <c r="D28" s="2" t="n"/>
      <c r="E28" s="2" t="n"/>
      <c r="F28" s="2" t="n"/>
      <c r="G28" s="2" t="n"/>
      <c r="H28" s="2" t="n"/>
      <c r="I28" s="2" t="n"/>
      <c r="J28" s="2" t="n"/>
      <c r="K28" s="2" t="n"/>
      <c r="L28" s="2" t="n"/>
    </row>
    <row r="29" ht="14.25" customHeight="1" s="46">
      <c r="A29" s="2" t="n"/>
      <c r="B29" s="2" t="n"/>
      <c r="C29" s="2" t="n"/>
      <c r="D29" s="2" t="n"/>
      <c r="E29" s="2" t="n"/>
      <c r="F29" s="2" t="n"/>
      <c r="G29" s="2" t="n"/>
      <c r="H29" s="2" t="n"/>
      <c r="I29" s="2" t="n"/>
      <c r="J29" s="2" t="n"/>
      <c r="K29" s="2" t="n"/>
      <c r="L29" s="2" t="n"/>
    </row>
    <row r="30" ht="14.25" customHeight="1" s="46">
      <c r="A30" s="2" t="n"/>
      <c r="B30" s="2" t="n"/>
      <c r="C30" s="2" t="n"/>
      <c r="D30" s="2" t="n"/>
      <c r="E30" s="2" t="n"/>
      <c r="F30" s="2" t="n"/>
      <c r="G30" s="2" t="n"/>
      <c r="H30" s="2" t="n"/>
      <c r="I30" s="2" t="n"/>
      <c r="J30" s="2" t="n"/>
      <c r="K30" s="2" t="n"/>
      <c r="L30" s="2" t="n"/>
    </row>
    <row r="31" ht="14.25" customHeight="1" s="46">
      <c r="A31" s="2" t="n"/>
      <c r="B31" s="2" t="n"/>
      <c r="C31" s="2" t="n"/>
      <c r="D31" s="2" t="n"/>
      <c r="E31" s="2" t="n"/>
      <c r="F31" s="2" t="n"/>
      <c r="G31" s="2" t="n"/>
      <c r="H31" s="2" t="n"/>
      <c r="I31" s="2" t="n"/>
      <c r="J31" s="2" t="n"/>
      <c r="K31" s="2" t="n"/>
      <c r="L31" s="2" t="n"/>
    </row>
    <row r="32" ht="14.25" customHeight="1" s="46">
      <c r="A32" s="2" t="n"/>
      <c r="B32" s="2" t="n"/>
      <c r="C32" s="2" t="n"/>
      <c r="D32" s="2" t="n"/>
      <c r="E32" s="2" t="n"/>
      <c r="F32" s="2" t="n"/>
      <c r="G32" s="2" t="n"/>
      <c r="H32" s="2" t="n"/>
      <c r="I32" s="2" t="n"/>
      <c r="J32" s="2" t="n"/>
      <c r="K32" s="2" t="n"/>
      <c r="L32" s="2" t="n"/>
    </row>
    <row r="33" ht="14.25" customHeight="1" s="46">
      <c r="A33" s="2" t="n"/>
      <c r="B33" s="2" t="n"/>
      <c r="C33" s="2" t="n"/>
      <c r="D33" s="2" t="n"/>
      <c r="E33" s="2" t="n"/>
      <c r="F33" s="2" t="n"/>
      <c r="G33" s="2" t="n"/>
      <c r="H33" s="2" t="n"/>
      <c r="I33" s="2" t="n"/>
      <c r="J33" s="2" t="n"/>
      <c r="K33" s="2" t="n"/>
      <c r="L33" s="2" t="n"/>
    </row>
    <row r="34" ht="14.25" customHeight="1" s="46">
      <c r="A34" s="2" t="n"/>
      <c r="B34" s="2" t="n"/>
      <c r="C34" s="2" t="n"/>
      <c r="D34" s="2" t="n"/>
      <c r="E34" s="2" t="n"/>
      <c r="F34" s="2" t="n"/>
      <c r="G34" s="2" t="n"/>
      <c r="H34" s="2" t="n"/>
      <c r="I34" s="2" t="n"/>
      <c r="J34" s="2" t="n"/>
      <c r="K34" s="2" t="n"/>
      <c r="L34" s="2" t="n"/>
    </row>
    <row r="35" ht="14.25" customHeight="1" s="46">
      <c r="A35" s="2" t="n"/>
      <c r="B35" s="2" t="n"/>
      <c r="C35" s="2" t="n"/>
      <c r="D35" s="2" t="n"/>
      <c r="E35" s="2" t="n"/>
      <c r="F35" s="2" t="n"/>
      <c r="G35" s="2" t="n"/>
      <c r="H35" s="2" t="n"/>
      <c r="I35" s="2" t="n"/>
      <c r="J35" s="2" t="n"/>
      <c r="K35" s="2" t="n"/>
      <c r="L35" s="2" t="n"/>
    </row>
    <row r="36" ht="14.25" customHeight="1" s="46">
      <c r="A36" s="2" t="n"/>
      <c r="B36" s="2" t="n"/>
      <c r="C36" s="2" t="n"/>
      <c r="D36" s="2" t="n"/>
      <c r="E36" s="2" t="n"/>
      <c r="F36" s="2" t="n"/>
      <c r="G36" s="2" t="n"/>
      <c r="H36" s="2" t="n"/>
      <c r="I36" s="2" t="n"/>
      <c r="J36" s="2" t="n"/>
      <c r="K36" s="2" t="n"/>
      <c r="L36" s="2" t="n"/>
    </row>
    <row r="37" ht="14.25" customHeight="1" s="46">
      <c r="A37" s="2" t="n"/>
      <c r="B37" s="2" t="n"/>
      <c r="C37" s="2" t="n"/>
      <c r="D37" s="2" t="n"/>
      <c r="E37" s="2" t="n"/>
      <c r="F37" s="2" t="n"/>
      <c r="G37" s="2" t="n"/>
      <c r="H37" s="2" t="n"/>
      <c r="I37" s="2" t="n"/>
      <c r="J37" s="2" t="n"/>
      <c r="K37" s="2" t="n"/>
      <c r="L37" s="2" t="n"/>
    </row>
    <row r="38" ht="14.25" customHeight="1" s="46">
      <c r="A38" s="2" t="n"/>
      <c r="B38" s="2" t="n"/>
      <c r="C38" s="2" t="n"/>
      <c r="D38" s="2" t="n"/>
      <c r="E38" s="2" t="n"/>
      <c r="F38" s="2" t="n"/>
      <c r="G38" s="2" t="n"/>
      <c r="H38" s="2" t="n"/>
      <c r="I38" s="2" t="n"/>
      <c r="J38" s="2" t="n"/>
      <c r="K38" s="2" t="n"/>
      <c r="L38" s="2" t="n"/>
    </row>
    <row r="39" ht="14.25" customHeight="1" s="46">
      <c r="A39" s="2" t="n"/>
      <c r="B39" s="2" t="n"/>
      <c r="C39" s="2" t="n"/>
      <c r="D39" s="2" t="n"/>
      <c r="E39" s="2" t="n"/>
      <c r="F39" s="2" t="n"/>
      <c r="G39" s="2" t="n"/>
      <c r="H39" s="2" t="n"/>
      <c r="I39" s="2" t="n"/>
      <c r="J39" s="2" t="n"/>
      <c r="K39" s="2" t="n"/>
      <c r="L39" s="2" t="n"/>
    </row>
    <row r="40" ht="14.25" customHeight="1" s="46">
      <c r="A40" s="2" t="n"/>
      <c r="B40" s="2" t="n"/>
      <c r="C40" s="2" t="n"/>
      <c r="D40" s="2" t="n"/>
      <c r="E40" s="2" t="n"/>
      <c r="F40" s="2" t="n"/>
      <c r="G40" s="2" t="n"/>
      <c r="H40" s="2" t="n"/>
      <c r="I40" s="2" t="n"/>
      <c r="J40" s="2" t="n"/>
      <c r="K40" s="2" t="n"/>
      <c r="L40" s="2" t="n"/>
    </row>
    <row r="41" ht="14.25" customHeight="1" s="46">
      <c r="A41" s="2" t="n"/>
      <c r="B41" s="2" t="n"/>
      <c r="C41" s="2" t="n"/>
      <c r="D41" s="2" t="n"/>
      <c r="E41" s="2" t="n"/>
      <c r="F41" s="2" t="n"/>
      <c r="G41" s="2" t="n"/>
      <c r="H41" s="2" t="n"/>
      <c r="I41" s="2" t="n"/>
      <c r="J41" s="2" t="n"/>
      <c r="K41" s="2" t="n"/>
      <c r="L41" s="2" t="n"/>
    </row>
    <row r="42" ht="14.25" customHeight="1" s="46">
      <c r="A42" s="2" t="n"/>
      <c r="B42" s="2" t="n"/>
      <c r="C42" s="2" t="n"/>
      <c r="D42" s="2" t="n"/>
      <c r="E42" s="2" t="n"/>
      <c r="F42" s="2" t="n"/>
      <c r="G42" s="2" t="n"/>
      <c r="H42" s="2" t="n"/>
      <c r="I42" s="2" t="n"/>
      <c r="J42" s="2" t="n"/>
      <c r="K42" s="2" t="n"/>
      <c r="L42" s="2" t="n"/>
    </row>
    <row r="43" ht="14.25" customHeight="1" s="46">
      <c r="A43" s="2" t="n"/>
      <c r="B43" s="2" t="n"/>
      <c r="C43" s="2" t="n"/>
      <c r="D43" s="2" t="n"/>
      <c r="E43" s="2" t="n"/>
      <c r="F43" s="2" t="n"/>
      <c r="G43" s="2" t="n"/>
      <c r="H43" s="2" t="n"/>
      <c r="I43" s="2" t="n"/>
      <c r="J43" s="2" t="n"/>
      <c r="K43" s="2" t="n"/>
      <c r="L43" s="2" t="n"/>
    </row>
    <row r="44" ht="14.25" customHeight="1" s="46">
      <c r="A44" s="2" t="n"/>
      <c r="B44" s="2" t="n"/>
      <c r="C44" s="2" t="n"/>
      <c r="D44" s="2" t="n"/>
      <c r="E44" s="2" t="n"/>
      <c r="F44" s="2" t="n"/>
      <c r="G44" s="2" t="n"/>
      <c r="H44" s="2" t="n"/>
      <c r="I44" s="2" t="n"/>
      <c r="J44" s="2" t="n"/>
      <c r="K44" s="2" t="n"/>
      <c r="L44" s="2" t="n"/>
    </row>
    <row r="45" ht="14.25" customHeight="1" s="46">
      <c r="A45" s="2" t="n"/>
      <c r="B45" s="2" t="n"/>
      <c r="C45" s="2" t="n"/>
      <c r="D45" s="2" t="n"/>
      <c r="E45" s="2" t="n"/>
      <c r="F45" s="2" t="n"/>
      <c r="G45" s="2" t="n"/>
      <c r="H45" s="2" t="n"/>
      <c r="I45" s="2" t="n"/>
      <c r="J45" s="2" t="n"/>
      <c r="K45" s="2" t="n"/>
      <c r="L45" s="2" t="n"/>
    </row>
    <row r="46" ht="14.25" customHeight="1" s="46">
      <c r="A46" s="2" t="n"/>
      <c r="B46" s="2" t="n"/>
      <c r="C46" s="2" t="n"/>
      <c r="D46" s="2" t="n"/>
      <c r="E46" s="2" t="n"/>
      <c r="F46" s="2" t="n"/>
      <c r="G46" s="2" t="n"/>
      <c r="H46" s="2" t="n"/>
      <c r="I46" s="2" t="n"/>
      <c r="J46" s="2" t="n"/>
      <c r="K46" s="2" t="n"/>
      <c r="L46" s="2" t="n"/>
    </row>
    <row r="47" ht="14.25" customHeight="1" s="46">
      <c r="A47" s="2" t="n"/>
      <c r="B47" s="2" t="n"/>
      <c r="C47" s="2" t="n"/>
      <c r="D47" s="2" t="n"/>
      <c r="E47" s="2" t="n"/>
      <c r="F47" s="2" t="n"/>
      <c r="G47" s="2" t="n"/>
      <c r="H47" s="2" t="n"/>
      <c r="I47" s="2" t="n"/>
      <c r="J47" s="2" t="n"/>
      <c r="K47" s="2" t="n"/>
      <c r="L47" s="2" t="n"/>
    </row>
    <row r="48" ht="14.25" customHeight="1" s="46">
      <c r="A48" s="2" t="n"/>
      <c r="B48" s="2" t="n"/>
      <c r="C48" s="2" t="n"/>
      <c r="D48" s="2" t="n"/>
      <c r="E48" s="2" t="n"/>
      <c r="F48" s="2" t="n"/>
      <c r="G48" s="2" t="n"/>
      <c r="H48" s="2" t="n"/>
      <c r="I48" s="2" t="n"/>
      <c r="J48" s="2" t="n"/>
      <c r="K48" s="2" t="n"/>
      <c r="L48" s="2" t="n"/>
    </row>
    <row r="49" ht="14.25" customHeight="1" s="46">
      <c r="A49" s="2" t="n"/>
      <c r="B49" s="2" t="n"/>
      <c r="C49" s="2" t="n"/>
      <c r="D49" s="2" t="n"/>
      <c r="E49" s="2" t="n"/>
      <c r="F49" s="2" t="n"/>
      <c r="G49" s="2" t="n"/>
      <c r="H49" s="2" t="n"/>
      <c r="I49" s="2" t="n"/>
      <c r="J49" s="2" t="n"/>
      <c r="K49" s="2" t="n"/>
      <c r="L49" s="2" t="n"/>
    </row>
    <row r="50" ht="14.25" customHeight="1" s="46">
      <c r="A50" s="2" t="n"/>
      <c r="B50" s="2" t="n"/>
      <c r="C50" s="2" t="n"/>
      <c r="D50" s="2" t="n"/>
      <c r="E50" s="2" t="n"/>
      <c r="F50" s="2" t="n"/>
      <c r="G50" s="2" t="n"/>
      <c r="H50" s="2" t="n"/>
      <c r="I50" s="2" t="n"/>
      <c r="J50" s="2" t="n"/>
      <c r="K50" s="2" t="n"/>
      <c r="L50" s="2" t="n"/>
    </row>
    <row r="51" ht="14.25" customHeight="1" s="46">
      <c r="A51" s="2" t="n"/>
      <c r="B51" s="2" t="n"/>
      <c r="C51" s="2" t="n"/>
      <c r="D51" s="2" t="n"/>
      <c r="E51" s="2" t="n"/>
      <c r="F51" s="2" t="n"/>
      <c r="G51" s="2" t="n"/>
      <c r="H51" s="2" t="n"/>
      <c r="I51" s="2" t="n"/>
      <c r="J51" s="2" t="n"/>
      <c r="K51" s="2" t="n"/>
      <c r="L51" s="2" t="n"/>
    </row>
    <row r="52" ht="14.25" customHeight="1" s="46">
      <c r="A52" s="2" t="n"/>
      <c r="B52" s="2" t="n"/>
      <c r="C52" s="2" t="n"/>
      <c r="D52" s="2" t="n"/>
      <c r="E52" s="2" t="n"/>
      <c r="F52" s="2" t="n"/>
      <c r="G52" s="2" t="n"/>
      <c r="H52" s="2" t="n"/>
      <c r="I52" s="2" t="n"/>
      <c r="J52" s="2" t="n"/>
      <c r="K52" s="2" t="n"/>
      <c r="L52" s="2" t="n"/>
    </row>
    <row r="53" ht="14.25" customHeight="1" s="46">
      <c r="A53" s="2" t="n"/>
      <c r="B53" s="2" t="n"/>
      <c r="C53" s="2" t="n"/>
      <c r="D53" s="2" t="n"/>
      <c r="E53" s="2" t="n"/>
      <c r="F53" s="2" t="n"/>
      <c r="G53" s="2" t="n"/>
      <c r="H53" s="2" t="n"/>
      <c r="I53" s="2" t="n"/>
      <c r="J53" s="2" t="n"/>
      <c r="K53" s="2" t="n"/>
      <c r="L53" s="2" t="n"/>
    </row>
    <row r="54" ht="14.25" customHeight="1" s="46">
      <c r="A54" s="2" t="n"/>
      <c r="B54" s="2" t="n"/>
      <c r="C54" s="2" t="n"/>
      <c r="D54" s="2" t="n"/>
      <c r="E54" s="2" t="n"/>
      <c r="F54" s="2" t="n"/>
      <c r="G54" s="2" t="n"/>
      <c r="H54" s="2" t="n"/>
      <c r="I54" s="2" t="n"/>
      <c r="J54" s="2" t="n"/>
      <c r="K54" s="2" t="n"/>
      <c r="L54" s="2" t="n"/>
    </row>
    <row r="55" ht="14.25" customHeight="1" s="46">
      <c r="A55" s="2" t="n"/>
      <c r="B55" s="2" t="n"/>
      <c r="C55" s="2" t="n"/>
      <c r="D55" s="2" t="n"/>
      <c r="E55" s="2" t="n"/>
      <c r="F55" s="2" t="n"/>
      <c r="G55" s="2" t="n"/>
      <c r="H55" s="2" t="n"/>
      <c r="I55" s="2" t="n"/>
      <c r="J55" s="2" t="n"/>
      <c r="K55" s="2" t="n"/>
      <c r="L55" s="2" t="n"/>
    </row>
    <row r="56" ht="14.25" customHeight="1" s="46">
      <c r="A56" s="2" t="n"/>
      <c r="B56" s="2" t="n"/>
      <c r="C56" s="2" t="n"/>
      <c r="D56" s="2" t="n"/>
      <c r="E56" s="2" t="n"/>
      <c r="F56" s="2" t="n"/>
      <c r="G56" s="2" t="n"/>
      <c r="H56" s="2" t="n"/>
      <c r="I56" s="2" t="n"/>
      <c r="J56" s="2" t="n"/>
      <c r="K56" s="2" t="n"/>
      <c r="L56" s="2" t="n"/>
    </row>
    <row r="57" ht="14.25" customHeight="1" s="46">
      <c r="A57" s="2" t="n"/>
      <c r="B57" s="2" t="n"/>
      <c r="C57" s="2" t="n"/>
      <c r="D57" s="2" t="n"/>
      <c r="E57" s="2" t="n"/>
      <c r="F57" s="2" t="n"/>
      <c r="G57" s="2" t="n"/>
      <c r="H57" s="2" t="n"/>
      <c r="I57" s="2" t="n"/>
      <c r="J57" s="2" t="n"/>
      <c r="K57" s="2" t="n"/>
      <c r="L57" s="2" t="n"/>
    </row>
    <row r="58" ht="14.25" customHeight="1" s="46">
      <c r="A58" s="2" t="n"/>
      <c r="B58" s="2" t="n"/>
      <c r="C58" s="2" t="n"/>
      <c r="D58" s="2" t="n"/>
      <c r="E58" s="2" t="n"/>
      <c r="F58" s="2" t="n"/>
      <c r="G58" s="2" t="n"/>
      <c r="H58" s="2" t="n"/>
      <c r="I58" s="2" t="n"/>
      <c r="J58" s="2" t="n"/>
      <c r="K58" s="2" t="n"/>
      <c r="L58" s="2" t="n"/>
    </row>
    <row r="59" ht="14.25" customHeight="1" s="46">
      <c r="A59" s="2" t="n"/>
      <c r="B59" s="2" t="n"/>
      <c r="C59" s="2" t="n"/>
      <c r="D59" s="2" t="n"/>
      <c r="E59" s="2" t="n"/>
      <c r="F59" s="2" t="n"/>
      <c r="G59" s="2" t="n"/>
      <c r="H59" s="2" t="n"/>
      <c r="I59" s="2" t="n"/>
      <c r="J59" s="2" t="n"/>
      <c r="K59" s="2" t="n"/>
      <c r="L59" s="2" t="n"/>
    </row>
    <row r="60" ht="14.25" customHeight="1" s="46">
      <c r="A60" s="2" t="n"/>
      <c r="B60" s="2" t="n"/>
      <c r="C60" s="2" t="n"/>
      <c r="D60" s="2" t="n"/>
      <c r="E60" s="2" t="n"/>
      <c r="F60" s="2" t="n"/>
      <c r="G60" s="2" t="n"/>
      <c r="H60" s="2" t="n"/>
      <c r="I60" s="2" t="n"/>
      <c r="J60" s="2" t="n"/>
      <c r="K60" s="2" t="n"/>
      <c r="L60" s="2" t="n"/>
    </row>
    <row r="61" ht="14.25" customHeight="1" s="46">
      <c r="A61" s="2" t="n"/>
      <c r="B61" s="2" t="n"/>
      <c r="C61" s="2" t="n"/>
      <c r="D61" s="2" t="n"/>
      <c r="E61" s="2" t="n"/>
      <c r="F61" s="2" t="n"/>
      <c r="G61" s="2" t="n"/>
      <c r="H61" s="2" t="n"/>
      <c r="I61" s="2" t="n"/>
      <c r="J61" s="2" t="n"/>
      <c r="K61" s="2" t="n"/>
      <c r="L61" s="2" t="n"/>
    </row>
    <row r="62" ht="14.25" customHeight="1" s="46">
      <c r="A62" s="2" t="n"/>
      <c r="B62" s="2" t="n"/>
      <c r="C62" s="2" t="n"/>
      <c r="D62" s="2" t="n"/>
      <c r="E62" s="2" t="n"/>
      <c r="F62" s="2" t="n"/>
      <c r="G62" s="2" t="n"/>
      <c r="H62" s="2" t="n"/>
      <c r="I62" s="2" t="n"/>
      <c r="J62" s="2" t="n"/>
      <c r="K62" s="2" t="n"/>
      <c r="L62" s="2" t="n"/>
    </row>
    <row r="63" ht="14.25" customHeight="1" s="46">
      <c r="A63" s="2" t="n"/>
      <c r="B63" s="2" t="n"/>
      <c r="C63" s="2" t="n"/>
      <c r="D63" s="2" t="n"/>
      <c r="E63" s="2" t="n"/>
      <c r="F63" s="2" t="n"/>
      <c r="G63" s="2" t="n"/>
      <c r="H63" s="2" t="n"/>
      <c r="I63" s="2" t="n"/>
      <c r="J63" s="2" t="n"/>
      <c r="K63" s="2" t="n"/>
      <c r="L63" s="2" t="n"/>
    </row>
    <row r="64" ht="14.25" customHeight="1" s="46">
      <c r="A64" s="2" t="n"/>
      <c r="B64" s="2" t="n"/>
      <c r="C64" s="2" t="n"/>
      <c r="D64" s="2" t="n"/>
      <c r="E64" s="2" t="n"/>
      <c r="F64" s="2" t="n"/>
      <c r="G64" s="2" t="n"/>
      <c r="H64" s="2" t="n"/>
      <c r="I64" s="2" t="n"/>
      <c r="J64" s="2" t="n"/>
      <c r="K64" s="2" t="n"/>
      <c r="L64" s="2" t="n"/>
    </row>
    <row r="65" ht="14.25" customHeight="1" s="46">
      <c r="A65" s="2" t="n"/>
      <c r="B65" s="2" t="n"/>
      <c r="C65" s="2" t="n"/>
      <c r="D65" s="2" t="n"/>
      <c r="E65" s="2" t="n"/>
      <c r="F65" s="2" t="n"/>
      <c r="G65" s="2" t="n"/>
      <c r="H65" s="2" t="n"/>
      <c r="I65" s="2" t="n"/>
      <c r="J65" s="2" t="n"/>
      <c r="K65" s="2" t="n"/>
      <c r="L65" s="2" t="n"/>
    </row>
    <row r="66" ht="14.25" customHeight="1" s="46">
      <c r="A66" s="2" t="n"/>
      <c r="B66" s="2" t="n"/>
      <c r="C66" s="2" t="n"/>
      <c r="D66" s="2" t="n"/>
      <c r="E66" s="2" t="n"/>
      <c r="F66" s="2" t="n"/>
      <c r="G66" s="2" t="n"/>
      <c r="H66" s="2" t="n"/>
      <c r="I66" s="2" t="n"/>
      <c r="J66" s="2" t="n"/>
      <c r="K66" s="2" t="n"/>
      <c r="L66" s="2" t="n"/>
    </row>
    <row r="67" ht="14.25" customHeight="1" s="46">
      <c r="A67" s="2" t="n"/>
      <c r="B67" s="2" t="n"/>
      <c r="C67" s="2" t="n"/>
      <c r="D67" s="2" t="n"/>
      <c r="E67" s="2" t="n"/>
      <c r="F67" s="2" t="n"/>
      <c r="G67" s="2" t="n"/>
      <c r="H67" s="2" t="n"/>
      <c r="I67" s="2" t="n"/>
      <c r="J67" s="2" t="n"/>
      <c r="K67" s="2" t="n"/>
      <c r="L67" s="2" t="n"/>
    </row>
    <row r="68" ht="14.25" customHeight="1" s="46">
      <c r="A68" s="2" t="n"/>
      <c r="B68" s="2" t="n"/>
      <c r="C68" s="2" t="n"/>
      <c r="D68" s="2" t="n"/>
      <c r="E68" s="2" t="n"/>
      <c r="F68" s="2" t="n"/>
      <c r="G68" s="2" t="n"/>
      <c r="H68" s="2" t="n"/>
      <c r="I68" s="2" t="n"/>
      <c r="J68" s="2" t="n"/>
      <c r="K68" s="2" t="n"/>
      <c r="L68" s="2" t="n"/>
    </row>
    <row r="69" ht="14.25" customHeight="1" s="46">
      <c r="A69" s="2" t="n"/>
      <c r="B69" s="2" t="n"/>
      <c r="C69" s="2" t="n"/>
      <c r="D69" s="2" t="n"/>
      <c r="E69" s="2" t="n"/>
      <c r="F69" s="2" t="n"/>
      <c r="G69" s="2" t="n"/>
      <c r="H69" s="2" t="n"/>
      <c r="I69" s="2" t="n"/>
      <c r="J69" s="2" t="n"/>
      <c r="K69" s="2" t="n"/>
      <c r="L69" s="2" t="n"/>
    </row>
    <row r="70" ht="14.25" customHeight="1" s="46">
      <c r="A70" s="2" t="n"/>
      <c r="B70" s="2" t="n"/>
      <c r="C70" s="2" t="n"/>
      <c r="D70" s="2" t="n"/>
      <c r="E70" s="2" t="n"/>
      <c r="F70" s="2" t="n"/>
      <c r="G70" s="2" t="n"/>
      <c r="H70" s="2" t="n"/>
      <c r="I70" s="2" t="n"/>
      <c r="J70" s="2" t="n"/>
      <c r="K70" s="2" t="n"/>
      <c r="L70" s="2" t="n"/>
    </row>
    <row r="71" ht="14.25" customHeight="1" s="46">
      <c r="A71" s="2" t="n"/>
      <c r="B71" s="2" t="n"/>
      <c r="C71" s="2" t="n"/>
      <c r="D71" s="2" t="n"/>
      <c r="E71" s="2" t="n"/>
      <c r="F71" s="2" t="n"/>
      <c r="G71" s="2" t="n"/>
      <c r="H71" s="2" t="n"/>
      <c r="I71" s="2" t="n"/>
      <c r="J71" s="2" t="n"/>
      <c r="K71" s="2" t="n"/>
      <c r="L71" s="2" t="n"/>
    </row>
    <row r="72" ht="14.25" customHeight="1" s="46">
      <c r="A72" s="2" t="n"/>
      <c r="B72" s="2" t="n"/>
      <c r="C72" s="2" t="n"/>
      <c r="D72" s="2" t="n"/>
      <c r="E72" s="2" t="n"/>
      <c r="F72" s="2" t="n"/>
      <c r="G72" s="2" t="n"/>
      <c r="H72" s="2" t="n"/>
      <c r="I72" s="2" t="n"/>
      <c r="J72" s="2" t="n"/>
      <c r="K72" s="2" t="n"/>
      <c r="L72" s="2" t="n"/>
    </row>
    <row r="73" ht="14.25" customHeight="1" s="46">
      <c r="A73" s="2" t="n"/>
      <c r="B73" s="2" t="n"/>
      <c r="C73" s="2" t="n"/>
      <c r="D73" s="2" t="n"/>
      <c r="E73" s="2" t="n"/>
      <c r="F73" s="2" t="n"/>
      <c r="G73" s="2" t="n"/>
      <c r="H73" s="2" t="n"/>
      <c r="I73" s="2" t="n"/>
      <c r="J73" s="2" t="n"/>
      <c r="K73" s="2" t="n"/>
      <c r="L73" s="2" t="n"/>
    </row>
    <row r="74" ht="14.25" customHeight="1" s="46">
      <c r="A74" s="2" t="n"/>
      <c r="B74" s="2" t="n"/>
      <c r="C74" s="2" t="n"/>
      <c r="D74" s="2" t="n"/>
      <c r="E74" s="2" t="n"/>
      <c r="F74" s="2" t="n"/>
      <c r="G74" s="2" t="n"/>
      <c r="H74" s="2" t="n"/>
      <c r="I74" s="2" t="n"/>
      <c r="J74" s="2" t="n"/>
      <c r="K74" s="2" t="n"/>
      <c r="L74" s="2" t="n"/>
    </row>
    <row r="75" ht="14.25" customHeight="1" s="46">
      <c r="A75" s="2" t="n"/>
      <c r="B75" s="2" t="n"/>
      <c r="C75" s="2" t="n"/>
      <c r="D75" s="2" t="n"/>
      <c r="E75" s="2" t="n"/>
      <c r="F75" s="2" t="n"/>
      <c r="G75" s="2" t="n"/>
      <c r="H75" s="2" t="n"/>
      <c r="I75" s="2" t="n"/>
      <c r="J75" s="2" t="n"/>
      <c r="K75" s="2" t="n"/>
      <c r="L75" s="2" t="n"/>
    </row>
    <row r="76" ht="14.25" customHeight="1" s="46">
      <c r="A76" s="2" t="n"/>
      <c r="B76" s="2" t="n"/>
      <c r="C76" s="2" t="n"/>
      <c r="D76" s="2" t="n"/>
      <c r="E76" s="2" t="n"/>
      <c r="F76" s="2" t="n"/>
      <c r="G76" s="2" t="n"/>
      <c r="H76" s="2" t="n"/>
      <c r="I76" s="2" t="n"/>
      <c r="J76" s="2" t="n"/>
      <c r="K76" s="2" t="n"/>
      <c r="L76" s="2" t="n"/>
    </row>
    <row r="77" ht="14.25" customHeight="1" s="46">
      <c r="A77" s="2" t="n"/>
      <c r="B77" s="2" t="n"/>
      <c r="C77" s="2" t="n"/>
      <c r="D77" s="2" t="n"/>
      <c r="E77" s="2" t="n"/>
      <c r="F77" s="2" t="n"/>
      <c r="G77" s="2" t="n"/>
      <c r="H77" s="2" t="n"/>
      <c r="I77" s="2" t="n"/>
      <c r="J77" s="2" t="n"/>
      <c r="K77" s="2" t="n"/>
      <c r="L77" s="2" t="n"/>
    </row>
    <row r="78" ht="14.25" customHeight="1" s="46">
      <c r="A78" s="2" t="n"/>
      <c r="B78" s="2" t="n"/>
      <c r="C78" s="2" t="n"/>
      <c r="D78" s="2" t="n"/>
      <c r="E78" s="2" t="n"/>
      <c r="F78" s="2" t="n"/>
      <c r="G78" s="2" t="n"/>
      <c r="H78" s="2" t="n"/>
      <c r="I78" s="2" t="n"/>
      <c r="J78" s="2" t="n"/>
      <c r="K78" s="2" t="n"/>
      <c r="L78" s="2" t="n"/>
    </row>
    <row r="79" ht="14.25" customHeight="1" s="46">
      <c r="A79" s="2" t="n"/>
      <c r="B79" s="2" t="n"/>
      <c r="C79" s="2" t="n"/>
      <c r="D79" s="2" t="n"/>
      <c r="E79" s="2" t="n"/>
      <c r="F79" s="2" t="n"/>
      <c r="G79" s="2" t="n"/>
      <c r="H79" s="2" t="n"/>
      <c r="I79" s="2" t="n"/>
      <c r="J79" s="2" t="n"/>
      <c r="K79" s="2" t="n"/>
      <c r="L79" s="2" t="n"/>
    </row>
    <row r="80" ht="14.25" customHeight="1" s="46">
      <c r="A80" s="2" t="n"/>
      <c r="B80" s="2" t="n"/>
      <c r="C80" s="2" t="n"/>
      <c r="D80" s="2" t="n"/>
      <c r="E80" s="2" t="n"/>
      <c r="F80" s="2" t="n"/>
      <c r="G80" s="2" t="n"/>
      <c r="H80" s="2" t="n"/>
      <c r="I80" s="2" t="n"/>
      <c r="J80" s="2" t="n"/>
      <c r="K80" s="2" t="n"/>
      <c r="L80" s="2" t="n"/>
    </row>
    <row r="81" ht="14.25" customHeight="1" s="46">
      <c r="A81" s="2" t="n"/>
      <c r="B81" s="2" t="n"/>
      <c r="C81" s="2" t="n"/>
      <c r="D81" s="2" t="n"/>
      <c r="E81" s="2" t="n"/>
      <c r="F81" s="2" t="n"/>
      <c r="G81" s="2" t="n"/>
      <c r="H81" s="2" t="n"/>
      <c r="I81" s="2" t="n"/>
      <c r="J81" s="2" t="n"/>
      <c r="K81" s="2" t="n"/>
      <c r="L81" s="2" t="n"/>
    </row>
    <row r="82" ht="14.25" customHeight="1" s="46">
      <c r="A82" s="2" t="n"/>
      <c r="B82" s="2" t="n"/>
      <c r="C82" s="2" t="n"/>
      <c r="D82" s="2" t="n"/>
      <c r="E82" s="2" t="n"/>
      <c r="F82" s="2" t="n"/>
      <c r="G82" s="2" t="n"/>
      <c r="H82" s="2" t="n"/>
      <c r="I82" s="2" t="n"/>
      <c r="J82" s="2" t="n"/>
      <c r="K82" s="2" t="n"/>
      <c r="L82" s="2" t="n"/>
    </row>
    <row r="83" ht="14.25" customHeight="1" s="46">
      <c r="A83" s="2" t="n"/>
      <c r="B83" s="2" t="n"/>
      <c r="C83" s="2" t="n"/>
      <c r="D83" s="2" t="n"/>
      <c r="E83" s="2" t="n"/>
      <c r="F83" s="2" t="n"/>
      <c r="G83" s="2" t="n"/>
      <c r="H83" s="2" t="n"/>
      <c r="I83" s="2" t="n"/>
      <c r="J83" s="2" t="n"/>
      <c r="K83" s="2" t="n"/>
      <c r="L83" s="2" t="n"/>
    </row>
    <row r="84" ht="14.25" customHeight="1" s="46">
      <c r="A84" s="2" t="n"/>
      <c r="B84" s="2" t="n"/>
      <c r="C84" s="2" t="n"/>
      <c r="D84" s="2" t="n"/>
      <c r="E84" s="2" t="n"/>
      <c r="F84" s="2" t="n"/>
      <c r="G84" s="2" t="n"/>
      <c r="H84" s="2" t="n"/>
      <c r="I84" s="2" t="n"/>
      <c r="J84" s="2" t="n"/>
      <c r="K84" s="2" t="n"/>
      <c r="L84" s="2" t="n"/>
    </row>
    <row r="85" ht="14.25" customHeight="1" s="46">
      <c r="A85" s="2" t="n"/>
      <c r="B85" s="2" t="n"/>
      <c r="C85" s="2" t="n"/>
      <c r="D85" s="2" t="n"/>
      <c r="E85" s="2" t="n"/>
      <c r="F85" s="2" t="n"/>
      <c r="G85" s="2" t="n"/>
      <c r="H85" s="2" t="n"/>
      <c r="I85" s="2" t="n"/>
      <c r="J85" s="2" t="n"/>
      <c r="K85" s="2" t="n"/>
      <c r="L85" s="2" t="n"/>
    </row>
    <row r="86" ht="14.25" customHeight="1" s="46">
      <c r="A86" s="2" t="n"/>
      <c r="B86" s="2" t="n"/>
      <c r="C86" s="2" t="n"/>
      <c r="D86" s="2" t="n"/>
      <c r="E86" s="2" t="n"/>
      <c r="F86" s="2" t="n"/>
      <c r="G86" s="2" t="n"/>
      <c r="H86" s="2" t="n"/>
      <c r="I86" s="2" t="n"/>
      <c r="J86" s="2" t="n"/>
      <c r="K86" s="2" t="n"/>
      <c r="L86" s="2" t="n"/>
    </row>
    <row r="87" ht="14.25" customHeight="1" s="46">
      <c r="A87" s="2" t="n"/>
      <c r="B87" s="2" t="n"/>
      <c r="C87" s="2" t="n"/>
      <c r="D87" s="2" t="n"/>
      <c r="E87" s="2" t="n"/>
      <c r="F87" s="2" t="n"/>
      <c r="G87" s="2" t="n"/>
      <c r="H87" s="2" t="n"/>
      <c r="I87" s="2" t="n"/>
      <c r="J87" s="2" t="n"/>
      <c r="K87" s="2" t="n"/>
      <c r="L87" s="2" t="n"/>
    </row>
    <row r="88" ht="14.25" customHeight="1" s="46">
      <c r="A88" s="2" t="n"/>
      <c r="B88" s="2" t="n"/>
      <c r="C88" s="2" t="n"/>
      <c r="D88" s="2" t="n"/>
      <c r="E88" s="2" t="n"/>
      <c r="F88" s="2" t="n"/>
      <c r="G88" s="2" t="n"/>
      <c r="H88" s="2" t="n"/>
      <c r="I88" s="2" t="n"/>
      <c r="J88" s="2" t="n"/>
      <c r="K88" s="2" t="n"/>
      <c r="L88" s="2" t="n"/>
    </row>
    <row r="89" ht="14.25" customHeight="1" s="46">
      <c r="A89" s="2" t="n"/>
      <c r="B89" s="2" t="n"/>
      <c r="C89" s="2" t="n"/>
      <c r="D89" s="2" t="n"/>
      <c r="E89" s="2" t="n"/>
      <c r="F89" s="2" t="n"/>
      <c r="G89" s="2" t="n"/>
      <c r="H89" s="2" t="n"/>
      <c r="I89" s="2" t="n"/>
      <c r="J89" s="2" t="n"/>
      <c r="K89" s="2" t="n"/>
      <c r="L89" s="2" t="n"/>
    </row>
    <row r="90" ht="14.25" customHeight="1" s="46">
      <c r="A90" s="2" t="n"/>
      <c r="B90" s="2" t="n"/>
      <c r="C90" s="2" t="n"/>
      <c r="D90" s="2" t="n"/>
      <c r="E90" s="2" t="n"/>
      <c r="F90" s="2" t="n"/>
      <c r="G90" s="2" t="n"/>
      <c r="H90" s="2" t="n"/>
      <c r="I90" s="2" t="n"/>
      <c r="J90" s="2" t="n"/>
      <c r="K90" s="2" t="n"/>
      <c r="L90" s="2" t="n"/>
    </row>
    <row r="91" ht="14.25" customHeight="1" s="46">
      <c r="A91" s="2" t="n"/>
      <c r="B91" s="2" t="n"/>
      <c r="C91" s="2" t="n"/>
      <c r="D91" s="2" t="n"/>
      <c r="E91" s="2" t="n"/>
      <c r="F91" s="2" t="n"/>
      <c r="G91" s="2" t="n"/>
      <c r="H91" s="2" t="n"/>
      <c r="I91" s="2" t="n"/>
      <c r="J91" s="2" t="n"/>
      <c r="K91" s="2" t="n"/>
      <c r="L91" s="2" t="n"/>
    </row>
    <row r="92" ht="14.25" customHeight="1" s="46">
      <c r="A92" s="2" t="n"/>
      <c r="B92" s="2" t="n"/>
      <c r="C92" s="2" t="n"/>
      <c r="D92" s="2" t="n"/>
      <c r="E92" s="2" t="n"/>
      <c r="F92" s="2" t="n"/>
      <c r="G92" s="2" t="n"/>
      <c r="H92" s="2" t="n"/>
      <c r="I92" s="2" t="n"/>
      <c r="J92" s="2" t="n"/>
      <c r="K92" s="2" t="n"/>
      <c r="L92" s="2" t="n"/>
    </row>
    <row r="93" ht="14.25" customHeight="1" s="46">
      <c r="A93" s="2" t="n"/>
      <c r="B93" s="2" t="n"/>
      <c r="C93" s="2" t="n"/>
      <c r="D93" s="2" t="n"/>
      <c r="E93" s="2" t="n"/>
      <c r="F93" s="2" t="n"/>
      <c r="G93" s="2" t="n"/>
      <c r="H93" s="2" t="n"/>
      <c r="I93" s="2" t="n"/>
      <c r="J93" s="2" t="n"/>
      <c r="K93" s="2" t="n"/>
      <c r="L93" s="2" t="n"/>
    </row>
    <row r="94" ht="14.25" customHeight="1" s="46">
      <c r="A94" s="2" t="n"/>
      <c r="B94" s="2" t="n"/>
      <c r="C94" s="2" t="n"/>
      <c r="D94" s="2" t="n"/>
      <c r="E94" s="2" t="n"/>
      <c r="F94" s="2" t="n"/>
      <c r="G94" s="2" t="n"/>
      <c r="H94" s="2" t="n"/>
      <c r="I94" s="2" t="n"/>
      <c r="J94" s="2" t="n"/>
      <c r="K94" s="2" t="n"/>
      <c r="L94" s="2" t="n"/>
    </row>
    <row r="95" ht="14.25" customHeight="1" s="46">
      <c r="A95" s="2" t="n"/>
      <c r="B95" s="2" t="n"/>
      <c r="C95" s="2" t="n"/>
      <c r="D95" s="2" t="n"/>
      <c r="E95" s="2" t="n"/>
      <c r="F95" s="2" t="n"/>
      <c r="G95" s="2" t="n"/>
      <c r="H95" s="2" t="n"/>
      <c r="I95" s="2" t="n"/>
      <c r="J95" s="2" t="n"/>
      <c r="K95" s="2" t="n"/>
      <c r="L95" s="2" t="n"/>
    </row>
    <row r="96" ht="14.25" customHeight="1" s="46">
      <c r="A96" s="2" t="n"/>
      <c r="B96" s="2" t="n"/>
      <c r="C96" s="2" t="n"/>
      <c r="D96" s="2" t="n"/>
      <c r="E96" s="2" t="n"/>
      <c r="F96" s="2" t="n"/>
      <c r="G96" s="2" t="n"/>
      <c r="H96" s="2" t="n"/>
      <c r="I96" s="2" t="n"/>
      <c r="J96" s="2" t="n"/>
      <c r="K96" s="2" t="n"/>
      <c r="L96" s="2" t="n"/>
    </row>
    <row r="97" ht="14.25" customHeight="1" s="46">
      <c r="A97" s="2" t="n"/>
      <c r="B97" s="2" t="n"/>
      <c r="C97" s="2" t="n"/>
      <c r="D97" s="2" t="n"/>
      <c r="E97" s="2" t="n"/>
      <c r="F97" s="2" t="n"/>
      <c r="G97" s="2" t="n"/>
      <c r="H97" s="2" t="n"/>
      <c r="I97" s="2" t="n"/>
      <c r="J97" s="2" t="n"/>
      <c r="K97" s="2" t="n"/>
      <c r="L97" s="2" t="n"/>
    </row>
    <row r="98" ht="14.25" customHeight="1" s="46">
      <c r="A98" s="2" t="n"/>
      <c r="B98" s="2" t="n"/>
      <c r="C98" s="2" t="n"/>
      <c r="D98" s="2" t="n"/>
      <c r="E98" s="2" t="n"/>
      <c r="F98" s="2" t="n"/>
      <c r="G98" s="2" t="n"/>
      <c r="H98" s="2" t="n"/>
      <c r="I98" s="2" t="n"/>
      <c r="J98" s="2" t="n"/>
      <c r="K98" s="2" t="n"/>
      <c r="L98" s="2" t="n"/>
    </row>
    <row r="99" ht="14.25" customHeight="1" s="46">
      <c r="A99" s="2" t="n"/>
      <c r="B99" s="2" t="n"/>
      <c r="C99" s="2" t="n"/>
      <c r="D99" s="2" t="n"/>
      <c r="E99" s="2" t="n"/>
      <c r="F99" s="2" t="n"/>
      <c r="G99" s="2" t="n"/>
      <c r="H99" s="2" t="n"/>
      <c r="I99" s="2" t="n"/>
      <c r="J99" s="2" t="n"/>
      <c r="K99" s="2" t="n"/>
      <c r="L99" s="2" t="n"/>
    </row>
    <row r="100" ht="14.25" customHeight="1" s="46">
      <c r="A100" s="2" t="n"/>
      <c r="B100" s="2" t="n"/>
      <c r="C100" s="2" t="n"/>
      <c r="D100" s="2" t="n"/>
      <c r="E100" s="2" t="n"/>
      <c r="F100" s="2" t="n"/>
      <c r="G100" s="2" t="n"/>
      <c r="H100" s="2" t="n"/>
      <c r="I100" s="2" t="n"/>
      <c r="J100" s="2" t="n"/>
      <c r="K100" s="2" t="n"/>
      <c r="L100" s="2" t="n"/>
    </row>
    <row r="101" ht="14.25" customHeight="1" s="46">
      <c r="A101" s="2" t="n"/>
      <c r="B101" s="2" t="n"/>
      <c r="C101" s="2" t="n"/>
      <c r="D101" s="2" t="n"/>
      <c r="E101" s="2" t="n"/>
      <c r="F101" s="2" t="n"/>
      <c r="G101" s="2" t="n"/>
      <c r="H101" s="2" t="n"/>
      <c r="I101" s="2" t="n"/>
      <c r="J101" s="2" t="n"/>
      <c r="K101" s="2" t="n"/>
      <c r="L101" s="2" t="n"/>
    </row>
    <row r="102" ht="14.25" customHeight="1" s="46">
      <c r="A102" s="2" t="n"/>
      <c r="B102" s="2" t="n"/>
      <c r="C102" s="2" t="n"/>
      <c r="D102" s="2" t="n"/>
      <c r="E102" s="2" t="n"/>
      <c r="F102" s="2" t="n"/>
      <c r="G102" s="2" t="n"/>
      <c r="H102" s="2" t="n"/>
      <c r="I102" s="2" t="n"/>
      <c r="J102" s="2" t="n"/>
      <c r="K102" s="2" t="n"/>
      <c r="L102" s="2" t="n"/>
    </row>
    <row r="103" ht="14.25" customHeight="1" s="46">
      <c r="A103" s="2" t="n"/>
      <c r="B103" s="2" t="n"/>
      <c r="C103" s="2" t="n"/>
      <c r="D103" s="2" t="n"/>
      <c r="E103" s="2" t="n"/>
      <c r="F103" s="2" t="n"/>
      <c r="G103" s="2" t="n"/>
      <c r="H103" s="2" t="n"/>
      <c r="I103" s="2" t="n"/>
      <c r="J103" s="2" t="n"/>
      <c r="K103" s="2" t="n"/>
      <c r="L103" s="2" t="n"/>
    </row>
    <row r="104" ht="14.25" customHeight="1" s="46">
      <c r="A104" s="2" t="n"/>
      <c r="B104" s="2" t="n"/>
      <c r="C104" s="2" t="n"/>
      <c r="D104" s="2" t="n"/>
      <c r="E104" s="2" t="n"/>
      <c r="F104" s="2" t="n"/>
      <c r="G104" s="2" t="n"/>
      <c r="H104" s="2" t="n"/>
      <c r="I104" s="2" t="n"/>
      <c r="J104" s="2" t="n"/>
      <c r="K104" s="2" t="n"/>
      <c r="L104" s="2" t="n"/>
    </row>
    <row r="105" ht="14.25" customHeight="1" s="46">
      <c r="A105" s="2" t="n"/>
      <c r="B105" s="2" t="n"/>
      <c r="C105" s="2" t="n"/>
      <c r="D105" s="2" t="n"/>
      <c r="E105" s="2" t="n"/>
      <c r="F105" s="2" t="n"/>
      <c r="G105" s="2" t="n"/>
      <c r="H105" s="2" t="n"/>
      <c r="I105" s="2" t="n"/>
      <c r="J105" s="2" t="n"/>
      <c r="K105" s="2" t="n"/>
      <c r="L105" s="2" t="n"/>
    </row>
    <row r="106" ht="14.25" customHeight="1" s="46">
      <c r="A106" s="2" t="n"/>
      <c r="B106" s="2" t="n"/>
      <c r="C106" s="2" t="n"/>
      <c r="D106" s="2" t="n"/>
      <c r="E106" s="2" t="n"/>
      <c r="F106" s="2" t="n"/>
      <c r="G106" s="2" t="n"/>
      <c r="H106" s="2" t="n"/>
      <c r="I106" s="2" t="n"/>
      <c r="J106" s="2" t="n"/>
      <c r="K106" s="2" t="n"/>
      <c r="L106" s="2" t="n"/>
    </row>
    <row r="107" ht="14.25" customHeight="1" s="46">
      <c r="A107" s="2" t="n"/>
      <c r="B107" s="2" t="n"/>
      <c r="C107" s="2" t="n"/>
      <c r="D107" s="2" t="n"/>
      <c r="E107" s="2" t="n"/>
      <c r="F107" s="2" t="n"/>
      <c r="G107" s="2" t="n"/>
      <c r="H107" s="2" t="n"/>
      <c r="I107" s="2" t="n"/>
      <c r="J107" s="2" t="n"/>
      <c r="K107" s="2" t="n"/>
      <c r="L107" s="2" t="n"/>
    </row>
    <row r="108" ht="14.25" customHeight="1" s="46">
      <c r="A108" s="2" t="n"/>
      <c r="B108" s="2" t="n"/>
      <c r="C108" s="2" t="n"/>
      <c r="D108" s="2" t="n"/>
      <c r="E108" s="2" t="n"/>
      <c r="F108" s="2" t="n"/>
      <c r="G108" s="2" t="n"/>
      <c r="H108" s="2" t="n"/>
      <c r="I108" s="2" t="n"/>
      <c r="J108" s="2" t="n"/>
      <c r="K108" s="2" t="n"/>
      <c r="L108" s="2" t="n"/>
    </row>
    <row r="109" ht="14.25" customHeight="1" s="46">
      <c r="A109" s="2" t="n"/>
      <c r="B109" s="2" t="n"/>
      <c r="C109" s="2" t="n"/>
      <c r="D109" s="2" t="n"/>
      <c r="E109" s="2" t="n"/>
      <c r="F109" s="2" t="n"/>
      <c r="G109" s="2" t="n"/>
      <c r="H109" s="2" t="n"/>
      <c r="I109" s="2" t="n"/>
      <c r="J109" s="2" t="n"/>
      <c r="K109" s="2" t="n"/>
      <c r="L109" s="2" t="n"/>
    </row>
    <row r="110" ht="14.25" customHeight="1" s="46">
      <c r="A110" s="2" t="n"/>
      <c r="B110" s="2" t="n"/>
      <c r="C110" s="2" t="n"/>
      <c r="D110" s="2" t="n"/>
      <c r="E110" s="2" t="n"/>
      <c r="F110" s="2" t="n"/>
      <c r="G110" s="2" t="n"/>
      <c r="H110" s="2" t="n"/>
      <c r="I110" s="2" t="n"/>
      <c r="J110" s="2" t="n"/>
      <c r="K110" s="2" t="n"/>
      <c r="L110" s="2" t="n"/>
    </row>
    <row r="111" ht="14.25" customHeight="1" s="46">
      <c r="A111" s="2" t="n"/>
      <c r="B111" s="2" t="n"/>
      <c r="C111" s="2" t="n"/>
      <c r="D111" s="2" t="n"/>
      <c r="E111" s="2" t="n"/>
      <c r="F111" s="2" t="n"/>
      <c r="G111" s="2" t="n"/>
      <c r="H111" s="2" t="n"/>
      <c r="I111" s="2" t="n"/>
      <c r="J111" s="2" t="n"/>
      <c r="K111" s="2" t="n"/>
      <c r="L111" s="2" t="n"/>
    </row>
    <row r="112" ht="14.25" customHeight="1" s="46">
      <c r="A112" s="2" t="n"/>
      <c r="B112" s="2" t="n"/>
      <c r="C112" s="2" t="n"/>
      <c r="D112" s="2" t="n"/>
      <c r="E112" s="2" t="n"/>
      <c r="F112" s="2" t="n"/>
      <c r="G112" s="2" t="n"/>
      <c r="H112" s="2" t="n"/>
      <c r="I112" s="2" t="n"/>
      <c r="J112" s="2" t="n"/>
      <c r="K112" s="2" t="n"/>
      <c r="L112" s="2" t="n"/>
    </row>
    <row r="113" ht="14.25" customHeight="1" s="46">
      <c r="A113" s="2" t="n"/>
      <c r="B113" s="2" t="n"/>
      <c r="C113" s="2" t="n"/>
      <c r="D113" s="2" t="n"/>
      <c r="E113" s="2" t="n"/>
      <c r="F113" s="2" t="n"/>
      <c r="G113" s="2" t="n"/>
      <c r="H113" s="2" t="n"/>
      <c r="I113" s="2" t="n"/>
      <c r="J113" s="2" t="n"/>
      <c r="K113" s="2" t="n"/>
      <c r="L113" s="2" t="n"/>
    </row>
    <row r="114" ht="14.25" customHeight="1" s="46">
      <c r="A114" s="2" t="n"/>
      <c r="B114" s="2" t="n"/>
      <c r="C114" s="2" t="n"/>
      <c r="D114" s="2" t="n"/>
      <c r="E114" s="2" t="n"/>
      <c r="F114" s="2" t="n"/>
      <c r="G114" s="2" t="n"/>
      <c r="H114" s="2" t="n"/>
      <c r="I114" s="2" t="n"/>
      <c r="J114" s="2" t="n"/>
      <c r="K114" s="2" t="n"/>
      <c r="L114" s="2" t="n"/>
    </row>
    <row r="115" ht="14.25" customHeight="1" s="46">
      <c r="A115" s="2" t="n"/>
      <c r="B115" s="2" t="n"/>
      <c r="C115" s="2" t="n"/>
      <c r="D115" s="2" t="n"/>
      <c r="E115" s="2" t="n"/>
      <c r="F115" s="2" t="n"/>
      <c r="G115" s="2" t="n"/>
      <c r="H115" s="2" t="n"/>
      <c r="I115" s="2" t="n"/>
      <c r="J115" s="2" t="n"/>
      <c r="K115" s="2" t="n"/>
      <c r="L115" s="2" t="n"/>
    </row>
    <row r="116" ht="14.25" customHeight="1" s="46">
      <c r="A116" s="2" t="n"/>
      <c r="B116" s="2" t="n"/>
      <c r="C116" s="2" t="n"/>
      <c r="D116" s="2" t="n"/>
      <c r="E116" s="2" t="n"/>
      <c r="F116" s="2" t="n"/>
      <c r="G116" s="2" t="n"/>
      <c r="H116" s="2" t="n"/>
      <c r="I116" s="2" t="n"/>
      <c r="J116" s="2" t="n"/>
      <c r="K116" s="2" t="n"/>
      <c r="L116" s="2" t="n"/>
    </row>
    <row r="117" ht="14.25" customHeight="1" s="46">
      <c r="A117" s="2" t="n"/>
      <c r="B117" s="2" t="n"/>
      <c r="C117" s="2" t="n"/>
      <c r="D117" s="2" t="n"/>
      <c r="E117" s="2" t="n"/>
      <c r="F117" s="2" t="n"/>
      <c r="G117" s="2" t="n"/>
      <c r="H117" s="2" t="n"/>
      <c r="I117" s="2" t="n"/>
      <c r="J117" s="2" t="n"/>
      <c r="K117" s="2" t="n"/>
      <c r="L117" s="2" t="n"/>
    </row>
    <row r="118" ht="14.25" customHeight="1" s="46">
      <c r="A118" s="2" t="n"/>
      <c r="B118" s="2" t="n"/>
      <c r="C118" s="2" t="n"/>
      <c r="D118" s="2" t="n"/>
      <c r="E118" s="2" t="n"/>
      <c r="F118" s="2" t="n"/>
      <c r="G118" s="2" t="n"/>
      <c r="H118" s="2" t="n"/>
      <c r="I118" s="2" t="n"/>
      <c r="J118" s="2" t="n"/>
      <c r="K118" s="2" t="n"/>
      <c r="L118" s="2" t="n"/>
    </row>
    <row r="119" ht="14.25" customHeight="1" s="46">
      <c r="A119" s="2" t="n"/>
      <c r="B119" s="2" t="n"/>
      <c r="C119" s="2" t="n"/>
      <c r="D119" s="2" t="n"/>
      <c r="E119" s="2" t="n"/>
      <c r="F119" s="2" t="n"/>
      <c r="G119" s="2" t="n"/>
      <c r="H119" s="2" t="n"/>
      <c r="I119" s="2" t="n"/>
      <c r="J119" s="2" t="n"/>
      <c r="K119" s="2" t="n"/>
      <c r="L119" s="2" t="n"/>
    </row>
    <row r="120" ht="14.25" customHeight="1" s="46">
      <c r="A120" s="2" t="n"/>
      <c r="B120" s="2" t="n"/>
      <c r="C120" s="2" t="n"/>
      <c r="D120" s="2" t="n"/>
      <c r="E120" s="2" t="n"/>
      <c r="F120" s="2" t="n"/>
      <c r="G120" s="2" t="n"/>
      <c r="H120" s="2" t="n"/>
      <c r="I120" s="2" t="n"/>
      <c r="J120" s="2" t="n"/>
      <c r="K120" s="2" t="n"/>
      <c r="L120" s="2" t="n"/>
    </row>
    <row r="121" ht="14.25" customHeight="1" s="46">
      <c r="A121" s="2" t="n"/>
      <c r="B121" s="2" t="n"/>
      <c r="C121" s="2" t="n"/>
      <c r="D121" s="2" t="n"/>
      <c r="E121" s="2" t="n"/>
      <c r="F121" s="2" t="n"/>
      <c r="G121" s="2" t="n"/>
      <c r="H121" s="2" t="n"/>
      <c r="I121" s="2" t="n"/>
      <c r="J121" s="2" t="n"/>
      <c r="K121" s="2" t="n"/>
      <c r="L121" s="2" t="n"/>
    </row>
    <row r="122" ht="14.25" customHeight="1" s="46">
      <c r="A122" s="2" t="n"/>
      <c r="B122" s="2" t="n"/>
      <c r="C122" s="2" t="n"/>
      <c r="D122" s="2" t="n"/>
      <c r="E122" s="2" t="n"/>
      <c r="F122" s="2" t="n"/>
      <c r="G122" s="2" t="n"/>
      <c r="H122" s="2" t="n"/>
      <c r="I122" s="2" t="n"/>
      <c r="J122" s="2" t="n"/>
      <c r="K122" s="2" t="n"/>
      <c r="L122" s="2" t="n"/>
    </row>
    <row r="123" ht="14.25" customHeight="1" s="46">
      <c r="A123" s="2" t="n"/>
      <c r="B123" s="2" t="n"/>
      <c r="C123" s="2" t="n"/>
      <c r="D123" s="2" t="n"/>
      <c r="E123" s="2" t="n"/>
      <c r="F123" s="2" t="n"/>
      <c r="G123" s="2" t="n"/>
      <c r="H123" s="2" t="n"/>
      <c r="I123" s="2" t="n"/>
      <c r="J123" s="2" t="n"/>
      <c r="K123" s="2" t="n"/>
      <c r="L123" s="2" t="n"/>
    </row>
    <row r="124" ht="14.25" customHeight="1" s="46">
      <c r="A124" s="2" t="n"/>
      <c r="B124" s="2" t="n"/>
      <c r="C124" s="2" t="n"/>
      <c r="D124" s="2" t="n"/>
      <c r="E124" s="2" t="n"/>
      <c r="F124" s="2" t="n"/>
      <c r="G124" s="2" t="n"/>
      <c r="H124" s="2" t="n"/>
      <c r="I124" s="2" t="n"/>
      <c r="J124" s="2" t="n"/>
      <c r="K124" s="2" t="n"/>
      <c r="L124" s="2" t="n"/>
    </row>
    <row r="125" ht="14.25" customHeight="1" s="46">
      <c r="A125" s="2" t="n"/>
      <c r="B125" s="2" t="n"/>
      <c r="C125" s="2" t="n"/>
      <c r="D125" s="2" t="n"/>
      <c r="E125" s="2" t="n"/>
      <c r="F125" s="2" t="n"/>
      <c r="G125" s="2" t="n"/>
      <c r="H125" s="2" t="n"/>
      <c r="I125" s="2" t="n"/>
      <c r="J125" s="2" t="n"/>
      <c r="K125" s="2" t="n"/>
      <c r="L125" s="2" t="n"/>
    </row>
    <row r="126" ht="14.25" customHeight="1" s="46">
      <c r="A126" s="2" t="n"/>
      <c r="B126" s="2" t="n"/>
      <c r="C126" s="2" t="n"/>
      <c r="D126" s="2" t="n"/>
      <c r="E126" s="2" t="n"/>
      <c r="F126" s="2" t="n"/>
      <c r="G126" s="2" t="n"/>
      <c r="H126" s="2" t="n"/>
      <c r="I126" s="2" t="n"/>
      <c r="J126" s="2" t="n"/>
      <c r="K126" s="2" t="n"/>
      <c r="L126" s="2" t="n"/>
    </row>
    <row r="127" ht="14.25" customHeight="1" s="46">
      <c r="A127" s="2" t="n"/>
      <c r="B127" s="2" t="n"/>
      <c r="C127" s="2" t="n"/>
      <c r="D127" s="2" t="n"/>
      <c r="E127" s="2" t="n"/>
      <c r="F127" s="2" t="n"/>
      <c r="G127" s="2" t="n"/>
      <c r="H127" s="2" t="n"/>
      <c r="I127" s="2" t="n"/>
      <c r="J127" s="2" t="n"/>
      <c r="K127" s="2" t="n"/>
      <c r="L127" s="2" t="n"/>
    </row>
    <row r="128" ht="14.25" customHeight="1" s="46">
      <c r="A128" s="2" t="n"/>
      <c r="B128" s="2" t="n"/>
      <c r="C128" s="2" t="n"/>
      <c r="D128" s="2" t="n"/>
      <c r="E128" s="2" t="n"/>
      <c r="F128" s="2" t="n"/>
      <c r="G128" s="2" t="n"/>
      <c r="H128" s="2" t="n"/>
      <c r="I128" s="2" t="n"/>
      <c r="J128" s="2" t="n"/>
      <c r="K128" s="2" t="n"/>
      <c r="L128" s="2" t="n"/>
    </row>
    <row r="129" ht="14.25" customHeight="1" s="46">
      <c r="A129" s="2" t="n"/>
      <c r="B129" s="2" t="n"/>
      <c r="C129" s="2" t="n"/>
      <c r="D129" s="2" t="n"/>
      <c r="E129" s="2" t="n"/>
      <c r="F129" s="2" t="n"/>
      <c r="G129" s="2" t="n"/>
      <c r="H129" s="2" t="n"/>
      <c r="I129" s="2" t="n"/>
      <c r="J129" s="2" t="n"/>
      <c r="K129" s="2" t="n"/>
      <c r="L129" s="2" t="n"/>
    </row>
    <row r="130" ht="14.25" customHeight="1" s="46">
      <c r="A130" s="2" t="n"/>
      <c r="B130" s="2" t="n"/>
      <c r="C130" s="2" t="n"/>
      <c r="D130" s="2" t="n"/>
      <c r="E130" s="2" t="n"/>
      <c r="F130" s="2" t="n"/>
      <c r="G130" s="2" t="n"/>
      <c r="H130" s="2" t="n"/>
      <c r="I130" s="2" t="n"/>
      <c r="J130" s="2" t="n"/>
      <c r="K130" s="2" t="n"/>
      <c r="L130" s="2" t="n"/>
    </row>
    <row r="131" ht="14.25" customHeight="1" s="46">
      <c r="A131" s="2" t="n"/>
      <c r="B131" s="2" t="n"/>
      <c r="C131" s="2" t="n"/>
      <c r="D131" s="2" t="n"/>
      <c r="E131" s="2" t="n"/>
      <c r="F131" s="2" t="n"/>
      <c r="G131" s="2" t="n"/>
      <c r="H131" s="2" t="n"/>
      <c r="I131" s="2" t="n"/>
      <c r="J131" s="2" t="n"/>
      <c r="K131" s="2" t="n"/>
      <c r="L131" s="2" t="n"/>
    </row>
    <row r="132" ht="14.25" customHeight="1" s="46">
      <c r="A132" s="2" t="n"/>
      <c r="B132" s="2" t="n"/>
      <c r="C132" s="2" t="n"/>
      <c r="D132" s="2" t="n"/>
      <c r="E132" s="2" t="n"/>
      <c r="F132" s="2" t="n"/>
      <c r="G132" s="2" t="n"/>
      <c r="H132" s="2" t="n"/>
      <c r="I132" s="2" t="n"/>
      <c r="J132" s="2" t="n"/>
      <c r="K132" s="2" t="n"/>
      <c r="L132" s="2" t="n"/>
    </row>
    <row r="133" ht="14.25" customHeight="1" s="46">
      <c r="A133" s="2" t="n"/>
      <c r="B133" s="2" t="n"/>
      <c r="C133" s="2" t="n"/>
      <c r="D133" s="2" t="n"/>
      <c r="E133" s="2" t="n"/>
      <c r="F133" s="2" t="n"/>
      <c r="G133" s="2" t="n"/>
      <c r="H133" s="2" t="n"/>
      <c r="I133" s="2" t="n"/>
      <c r="J133" s="2" t="n"/>
      <c r="K133" s="2" t="n"/>
      <c r="L133" s="2" t="n"/>
    </row>
    <row r="134" ht="14.25" customHeight="1" s="46">
      <c r="A134" s="2" t="n"/>
      <c r="B134" s="2" t="n"/>
      <c r="C134" s="2" t="n"/>
      <c r="D134" s="2" t="n"/>
      <c r="E134" s="2" t="n"/>
      <c r="F134" s="2" t="n"/>
      <c r="G134" s="2" t="n"/>
      <c r="H134" s="2" t="n"/>
      <c r="I134" s="2" t="n"/>
      <c r="J134" s="2" t="n"/>
      <c r="K134" s="2" t="n"/>
      <c r="L134" s="2" t="n"/>
    </row>
    <row r="135" ht="14.25" customHeight="1" s="46">
      <c r="A135" s="2" t="n"/>
      <c r="B135" s="2" t="n"/>
      <c r="C135" s="2" t="n"/>
      <c r="D135" s="2" t="n"/>
      <c r="E135" s="2" t="n"/>
      <c r="F135" s="2" t="n"/>
      <c r="G135" s="2" t="n"/>
      <c r="H135" s="2" t="n"/>
      <c r="I135" s="2" t="n"/>
      <c r="J135" s="2" t="n"/>
      <c r="K135" s="2" t="n"/>
      <c r="L135" s="2" t="n"/>
    </row>
    <row r="136" ht="14.25" customHeight="1" s="46">
      <c r="A136" s="2" t="n"/>
      <c r="B136" s="2" t="n"/>
      <c r="C136" s="2" t="n"/>
      <c r="D136" s="2" t="n"/>
      <c r="E136" s="2" t="n"/>
      <c r="F136" s="2" t="n"/>
      <c r="G136" s="2" t="n"/>
      <c r="H136" s="2" t="n"/>
      <c r="I136" s="2" t="n"/>
      <c r="J136" s="2" t="n"/>
      <c r="K136" s="2" t="n"/>
      <c r="L136" s="2" t="n"/>
    </row>
    <row r="137" ht="14.25" customHeight="1" s="46">
      <c r="A137" s="2" t="n"/>
      <c r="B137" s="2" t="n"/>
      <c r="C137" s="2" t="n"/>
      <c r="D137" s="2" t="n"/>
      <c r="E137" s="2" t="n"/>
      <c r="F137" s="2" t="n"/>
      <c r="G137" s="2" t="n"/>
      <c r="H137" s="2" t="n"/>
      <c r="I137" s="2" t="n"/>
      <c r="J137" s="2" t="n"/>
      <c r="K137" s="2" t="n"/>
      <c r="L137" s="2" t="n"/>
    </row>
    <row r="138" ht="14.25" customHeight="1" s="46">
      <c r="A138" s="2" t="n"/>
      <c r="B138" s="2" t="n"/>
      <c r="C138" s="2" t="n"/>
      <c r="D138" s="2" t="n"/>
      <c r="E138" s="2" t="n"/>
      <c r="F138" s="2" t="n"/>
      <c r="G138" s="2" t="n"/>
      <c r="H138" s="2" t="n"/>
      <c r="I138" s="2" t="n"/>
      <c r="J138" s="2" t="n"/>
      <c r="K138" s="2" t="n"/>
      <c r="L138" s="2" t="n"/>
    </row>
    <row r="139" ht="14.25" customHeight="1" s="46">
      <c r="A139" s="2" t="n"/>
      <c r="B139" s="2" t="n"/>
      <c r="C139" s="2" t="n"/>
      <c r="D139" s="2" t="n"/>
      <c r="E139" s="2" t="n"/>
      <c r="F139" s="2" t="n"/>
      <c r="G139" s="2" t="n"/>
      <c r="H139" s="2" t="n"/>
      <c r="I139" s="2" t="n"/>
      <c r="J139" s="2" t="n"/>
      <c r="K139" s="2" t="n"/>
      <c r="L139" s="2" t="n"/>
    </row>
    <row r="140" ht="14.25" customHeight="1" s="46">
      <c r="A140" s="2" t="n"/>
      <c r="B140" s="2" t="n"/>
      <c r="C140" s="2" t="n"/>
      <c r="D140" s="2" t="n"/>
      <c r="E140" s="2" t="n"/>
      <c r="F140" s="2" t="n"/>
      <c r="G140" s="2" t="n"/>
      <c r="H140" s="2" t="n"/>
      <c r="I140" s="2" t="n"/>
      <c r="J140" s="2" t="n"/>
      <c r="K140" s="2" t="n"/>
      <c r="L140" s="2" t="n"/>
    </row>
    <row r="141" ht="14.25" customHeight="1" s="46">
      <c r="A141" s="2" t="n"/>
      <c r="B141" s="2" t="n"/>
      <c r="C141" s="2" t="n"/>
      <c r="D141" s="2" t="n"/>
      <c r="E141" s="2" t="n"/>
      <c r="F141" s="2" t="n"/>
      <c r="G141" s="2" t="n"/>
      <c r="H141" s="2" t="n"/>
      <c r="I141" s="2" t="n"/>
      <c r="J141" s="2" t="n"/>
      <c r="K141" s="2" t="n"/>
      <c r="L141" s="2" t="n"/>
    </row>
    <row r="142" ht="14.25" customHeight="1" s="46">
      <c r="A142" s="2" t="n"/>
      <c r="B142" s="2" t="n"/>
      <c r="C142" s="2" t="n"/>
      <c r="D142" s="2" t="n"/>
      <c r="E142" s="2" t="n"/>
      <c r="F142" s="2" t="n"/>
      <c r="G142" s="2" t="n"/>
      <c r="H142" s="2" t="n"/>
      <c r="I142" s="2" t="n"/>
      <c r="J142" s="2" t="n"/>
      <c r="K142" s="2" t="n"/>
      <c r="L142" s="2" t="n"/>
    </row>
    <row r="143" ht="14.25" customHeight="1" s="46">
      <c r="A143" s="2" t="n"/>
      <c r="B143" s="2" t="n"/>
      <c r="C143" s="2" t="n"/>
      <c r="D143" s="2" t="n"/>
      <c r="E143" s="2" t="n"/>
      <c r="F143" s="2" t="n"/>
      <c r="G143" s="2" t="n"/>
      <c r="H143" s="2" t="n"/>
      <c r="I143" s="2" t="n"/>
      <c r="J143" s="2" t="n"/>
      <c r="K143" s="2" t="n"/>
      <c r="L143" s="2" t="n"/>
    </row>
    <row r="144" ht="14.25" customHeight="1" s="46">
      <c r="A144" s="2" t="n"/>
      <c r="B144" s="2" t="n"/>
      <c r="C144" s="2" t="n"/>
      <c r="D144" s="2" t="n"/>
      <c r="E144" s="2" t="n"/>
      <c r="F144" s="2" t="n"/>
      <c r="G144" s="2" t="n"/>
      <c r="H144" s="2" t="n"/>
      <c r="I144" s="2" t="n"/>
      <c r="J144" s="2" t="n"/>
      <c r="K144" s="2" t="n"/>
      <c r="L144" s="2" t="n"/>
    </row>
    <row r="145" ht="14.25" customHeight="1" s="46">
      <c r="A145" s="2" t="n"/>
      <c r="B145" s="2" t="n"/>
      <c r="C145" s="2" t="n"/>
      <c r="D145" s="2" t="n"/>
      <c r="E145" s="2" t="n"/>
      <c r="F145" s="2" t="n"/>
      <c r="G145" s="2" t="n"/>
      <c r="H145" s="2" t="n"/>
      <c r="I145" s="2" t="n"/>
      <c r="J145" s="2" t="n"/>
      <c r="K145" s="2" t="n"/>
      <c r="L145" s="2" t="n"/>
    </row>
    <row r="146" ht="14.25" customHeight="1" s="46">
      <c r="A146" s="2" t="n"/>
      <c r="B146" s="2" t="n"/>
      <c r="C146" s="2" t="n"/>
      <c r="D146" s="2" t="n"/>
      <c r="E146" s="2" t="n"/>
      <c r="F146" s="2" t="n"/>
      <c r="G146" s="2" t="n"/>
      <c r="H146" s="2" t="n"/>
      <c r="I146" s="2" t="n"/>
      <c r="J146" s="2" t="n"/>
      <c r="K146" s="2" t="n"/>
      <c r="L146" s="2" t="n"/>
    </row>
    <row r="147" ht="14.25" customHeight="1" s="46">
      <c r="A147" s="2" t="n"/>
      <c r="B147" s="2" t="n"/>
      <c r="C147" s="2" t="n"/>
      <c r="D147" s="2" t="n"/>
      <c r="E147" s="2" t="n"/>
      <c r="F147" s="2" t="n"/>
      <c r="G147" s="2" t="n"/>
      <c r="H147" s="2" t="n"/>
      <c r="I147" s="2" t="n"/>
      <c r="J147" s="2" t="n"/>
      <c r="K147" s="2" t="n"/>
      <c r="L147" s="2" t="n"/>
    </row>
    <row r="148" ht="14.25" customHeight="1" s="46">
      <c r="A148" s="2" t="n"/>
      <c r="B148" s="2" t="n"/>
      <c r="C148" s="2" t="n"/>
      <c r="D148" s="2" t="n"/>
      <c r="E148" s="2" t="n"/>
      <c r="F148" s="2" t="n"/>
      <c r="G148" s="2" t="n"/>
      <c r="H148" s="2" t="n"/>
      <c r="I148" s="2" t="n"/>
      <c r="J148" s="2" t="n"/>
      <c r="K148" s="2" t="n"/>
      <c r="L148" s="2" t="n"/>
    </row>
    <row r="149" ht="14.25" customHeight="1" s="46">
      <c r="A149" s="2" t="n"/>
      <c r="B149" s="2" t="n"/>
      <c r="C149" s="2" t="n"/>
      <c r="D149" s="2" t="n"/>
      <c r="E149" s="2" t="n"/>
      <c r="F149" s="2" t="n"/>
      <c r="G149" s="2" t="n"/>
      <c r="H149" s="2" t="n"/>
      <c r="I149" s="2" t="n"/>
      <c r="J149" s="2" t="n"/>
      <c r="K149" s="2" t="n"/>
      <c r="L149" s="2" t="n"/>
    </row>
    <row r="150" ht="14.25" customHeight="1" s="46">
      <c r="A150" s="2" t="n"/>
      <c r="B150" s="2" t="n"/>
      <c r="C150" s="2" t="n"/>
      <c r="D150" s="2" t="n"/>
      <c r="E150" s="2" t="n"/>
      <c r="F150" s="2" t="n"/>
      <c r="G150" s="2" t="n"/>
      <c r="H150" s="2" t="n"/>
      <c r="I150" s="2" t="n"/>
      <c r="J150" s="2" t="n"/>
      <c r="K150" s="2" t="n"/>
      <c r="L150" s="2" t="n"/>
    </row>
    <row r="151" ht="14.25" customHeight="1" s="46">
      <c r="A151" s="2" t="n"/>
      <c r="B151" s="2" t="n"/>
      <c r="C151" s="2" t="n"/>
      <c r="D151" s="2" t="n"/>
      <c r="E151" s="2" t="n"/>
      <c r="F151" s="2" t="n"/>
      <c r="G151" s="2" t="n"/>
      <c r="H151" s="2" t="n"/>
      <c r="I151" s="2" t="n"/>
      <c r="J151" s="2" t="n"/>
      <c r="K151" s="2" t="n"/>
      <c r="L151" s="2" t="n"/>
    </row>
    <row r="152" ht="14.25" customHeight="1" s="46">
      <c r="A152" s="2" t="n"/>
      <c r="B152" s="2" t="n"/>
      <c r="C152" s="2" t="n"/>
      <c r="D152" s="2" t="n"/>
      <c r="E152" s="2" t="n"/>
      <c r="F152" s="2" t="n"/>
      <c r="G152" s="2" t="n"/>
      <c r="H152" s="2" t="n"/>
      <c r="I152" s="2" t="n"/>
      <c r="J152" s="2" t="n"/>
      <c r="K152" s="2" t="n"/>
      <c r="L152" s="2" t="n"/>
    </row>
    <row r="153" ht="14.25" customHeight="1" s="46">
      <c r="A153" s="2" t="n"/>
      <c r="B153" s="2" t="n"/>
      <c r="C153" s="2" t="n"/>
      <c r="D153" s="2" t="n"/>
      <c r="E153" s="2" t="n"/>
      <c r="F153" s="2" t="n"/>
      <c r="G153" s="2" t="n"/>
      <c r="H153" s="2" t="n"/>
      <c r="I153" s="2" t="n"/>
      <c r="J153" s="2" t="n"/>
      <c r="K153" s="2" t="n"/>
      <c r="L153" s="2" t="n"/>
    </row>
    <row r="154" ht="14.25" customHeight="1" s="46">
      <c r="A154" s="2" t="n"/>
      <c r="B154" s="2" t="n"/>
      <c r="C154" s="2" t="n"/>
      <c r="D154" s="2" t="n"/>
      <c r="E154" s="2" t="n"/>
      <c r="F154" s="2" t="n"/>
      <c r="G154" s="2" t="n"/>
      <c r="H154" s="2" t="n"/>
      <c r="I154" s="2" t="n"/>
      <c r="J154" s="2" t="n"/>
      <c r="K154" s="2" t="n"/>
      <c r="L154" s="2" t="n"/>
    </row>
    <row r="155" ht="14.25" customHeight="1" s="46">
      <c r="A155" s="2" t="n"/>
      <c r="B155" s="2" t="n"/>
      <c r="C155" s="2" t="n"/>
      <c r="D155" s="2" t="n"/>
      <c r="E155" s="2" t="n"/>
      <c r="F155" s="2" t="n"/>
      <c r="G155" s="2" t="n"/>
      <c r="H155" s="2" t="n"/>
      <c r="I155" s="2" t="n"/>
      <c r="J155" s="2" t="n"/>
      <c r="K155" s="2" t="n"/>
      <c r="L155" s="2" t="n"/>
    </row>
    <row r="156" ht="14.25" customHeight="1" s="46">
      <c r="A156" s="2" t="n"/>
      <c r="B156" s="2" t="n"/>
      <c r="C156" s="2" t="n"/>
      <c r="D156" s="2" t="n"/>
      <c r="E156" s="2" t="n"/>
      <c r="F156" s="2" t="n"/>
      <c r="G156" s="2" t="n"/>
      <c r="H156" s="2" t="n"/>
      <c r="I156" s="2" t="n"/>
      <c r="J156" s="2" t="n"/>
      <c r="K156" s="2" t="n"/>
      <c r="L156" s="2" t="n"/>
    </row>
    <row r="157" ht="14.25" customHeight="1" s="46">
      <c r="A157" s="2" t="n"/>
      <c r="B157" s="2" t="n"/>
      <c r="C157" s="2" t="n"/>
      <c r="D157" s="2" t="n"/>
      <c r="E157" s="2" t="n"/>
      <c r="F157" s="2" t="n"/>
      <c r="G157" s="2" t="n"/>
      <c r="H157" s="2" t="n"/>
      <c r="I157" s="2" t="n"/>
      <c r="J157" s="2" t="n"/>
      <c r="K157" s="2" t="n"/>
      <c r="L157" s="2" t="n"/>
    </row>
    <row r="158" ht="14.25" customHeight="1" s="46">
      <c r="A158" s="2" t="n"/>
      <c r="B158" s="2" t="n"/>
      <c r="C158" s="2" t="n"/>
      <c r="D158" s="2" t="n"/>
      <c r="E158" s="2" t="n"/>
      <c r="F158" s="2" t="n"/>
      <c r="G158" s="2" t="n"/>
      <c r="H158" s="2" t="n"/>
      <c r="I158" s="2" t="n"/>
      <c r="J158" s="2" t="n"/>
      <c r="K158" s="2" t="n"/>
      <c r="L158" s="2" t="n"/>
    </row>
    <row r="159" ht="14.25" customHeight="1" s="46">
      <c r="A159" s="2" t="n"/>
      <c r="B159" s="2" t="n"/>
      <c r="C159" s="2" t="n"/>
      <c r="D159" s="2" t="n"/>
      <c r="E159" s="2" t="n"/>
      <c r="F159" s="2" t="n"/>
      <c r="G159" s="2" t="n"/>
      <c r="H159" s="2" t="n"/>
      <c r="I159" s="2" t="n"/>
      <c r="J159" s="2" t="n"/>
      <c r="K159" s="2" t="n"/>
      <c r="L159" s="2" t="n"/>
    </row>
    <row r="160" ht="14.25" customHeight="1" s="46">
      <c r="A160" s="2" t="n"/>
      <c r="B160" s="2" t="n"/>
      <c r="C160" s="2" t="n"/>
      <c r="D160" s="2" t="n"/>
      <c r="E160" s="2" t="n"/>
      <c r="F160" s="2" t="n"/>
      <c r="G160" s="2" t="n"/>
      <c r="H160" s="2" t="n"/>
      <c r="I160" s="2" t="n"/>
      <c r="J160" s="2" t="n"/>
      <c r="K160" s="2" t="n"/>
      <c r="L160" s="2" t="n"/>
    </row>
    <row r="161" ht="14.25" customHeight="1" s="46">
      <c r="A161" s="2" t="n"/>
      <c r="B161" s="2" t="n"/>
      <c r="C161" s="2" t="n"/>
      <c r="D161" s="2" t="n"/>
      <c r="E161" s="2" t="n"/>
      <c r="F161" s="2" t="n"/>
      <c r="G161" s="2" t="n"/>
      <c r="H161" s="2" t="n"/>
      <c r="I161" s="2" t="n"/>
      <c r="J161" s="2" t="n"/>
      <c r="K161" s="2" t="n"/>
      <c r="L161" s="2" t="n"/>
    </row>
    <row r="162" ht="14.25" customHeight="1" s="46">
      <c r="A162" s="2" t="n"/>
      <c r="B162" s="2" t="n"/>
      <c r="C162" s="2" t="n"/>
      <c r="D162" s="2" t="n"/>
      <c r="E162" s="2" t="n"/>
      <c r="F162" s="2" t="n"/>
      <c r="G162" s="2" t="n"/>
      <c r="H162" s="2" t="n"/>
      <c r="I162" s="2" t="n"/>
      <c r="J162" s="2" t="n"/>
      <c r="K162" s="2" t="n"/>
      <c r="L162" s="2" t="n"/>
    </row>
    <row r="163" ht="14.25" customHeight="1" s="46">
      <c r="A163" s="2" t="n"/>
      <c r="B163" s="2" t="n"/>
      <c r="C163" s="2" t="n"/>
      <c r="D163" s="2" t="n"/>
      <c r="E163" s="2" t="n"/>
      <c r="F163" s="2" t="n"/>
      <c r="G163" s="2" t="n"/>
      <c r="H163" s="2" t="n"/>
      <c r="I163" s="2" t="n"/>
      <c r="J163" s="2" t="n"/>
      <c r="K163" s="2" t="n"/>
      <c r="L163" s="2" t="n"/>
    </row>
    <row r="164" ht="14.25" customHeight="1" s="46">
      <c r="A164" s="2" t="n"/>
      <c r="B164" s="2" t="n"/>
      <c r="C164" s="2" t="n"/>
      <c r="D164" s="2" t="n"/>
      <c r="E164" s="2" t="n"/>
      <c r="F164" s="2" t="n"/>
      <c r="G164" s="2" t="n"/>
      <c r="H164" s="2" t="n"/>
      <c r="I164" s="2" t="n"/>
      <c r="J164" s="2" t="n"/>
      <c r="K164" s="2" t="n"/>
      <c r="L164" s="2" t="n"/>
    </row>
    <row r="165" ht="14.25" customHeight="1" s="46">
      <c r="A165" s="2" t="n"/>
      <c r="B165" s="2" t="n"/>
      <c r="C165" s="2" t="n"/>
      <c r="D165" s="2" t="n"/>
      <c r="E165" s="2" t="n"/>
      <c r="F165" s="2" t="n"/>
      <c r="G165" s="2" t="n"/>
      <c r="H165" s="2" t="n"/>
      <c r="I165" s="2" t="n"/>
      <c r="J165" s="2" t="n"/>
      <c r="K165" s="2" t="n"/>
      <c r="L165" s="2" t="n"/>
    </row>
    <row r="166" ht="14.25" customHeight="1" s="46">
      <c r="A166" s="2" t="n"/>
      <c r="B166" s="2" t="n"/>
      <c r="C166" s="2" t="n"/>
      <c r="D166" s="2" t="n"/>
      <c r="E166" s="2" t="n"/>
      <c r="F166" s="2" t="n"/>
      <c r="G166" s="2" t="n"/>
      <c r="H166" s="2" t="n"/>
      <c r="I166" s="2" t="n"/>
      <c r="J166" s="2" t="n"/>
      <c r="K166" s="2" t="n"/>
      <c r="L166" s="2" t="n"/>
    </row>
    <row r="167" ht="14.25" customHeight="1" s="46">
      <c r="A167" s="2" t="n"/>
      <c r="B167" s="2" t="n"/>
      <c r="C167" s="2" t="n"/>
      <c r="D167" s="2" t="n"/>
      <c r="E167" s="2" t="n"/>
      <c r="F167" s="2" t="n"/>
      <c r="G167" s="2" t="n"/>
      <c r="H167" s="2" t="n"/>
      <c r="I167" s="2" t="n"/>
      <c r="J167" s="2" t="n"/>
      <c r="K167" s="2" t="n"/>
      <c r="L167" s="2" t="n"/>
    </row>
    <row r="168" ht="14.25" customHeight="1" s="46">
      <c r="A168" s="2" t="n"/>
      <c r="B168" s="2" t="n"/>
      <c r="C168" s="2" t="n"/>
      <c r="D168" s="2" t="n"/>
      <c r="E168" s="2" t="n"/>
      <c r="F168" s="2" t="n"/>
      <c r="G168" s="2" t="n"/>
      <c r="H168" s="2" t="n"/>
      <c r="I168" s="2" t="n"/>
      <c r="J168" s="2" t="n"/>
      <c r="K168" s="2" t="n"/>
      <c r="L168" s="2" t="n"/>
    </row>
    <row r="169" ht="14.25" customHeight="1" s="46">
      <c r="A169" s="2" t="n"/>
      <c r="B169" s="2" t="n"/>
      <c r="C169" s="2" t="n"/>
      <c r="D169" s="2" t="n"/>
      <c r="E169" s="2" t="n"/>
      <c r="F169" s="2" t="n"/>
      <c r="G169" s="2" t="n"/>
      <c r="H169" s="2" t="n"/>
      <c r="I169" s="2" t="n"/>
      <c r="J169" s="2" t="n"/>
      <c r="K169" s="2" t="n"/>
      <c r="L169" s="2" t="n"/>
    </row>
    <row r="170" ht="14.25" customHeight="1" s="46">
      <c r="A170" s="2" t="n"/>
      <c r="B170" s="2" t="n"/>
      <c r="C170" s="2" t="n"/>
      <c r="D170" s="2" t="n"/>
      <c r="E170" s="2" t="n"/>
      <c r="F170" s="2" t="n"/>
      <c r="G170" s="2" t="n"/>
      <c r="H170" s="2" t="n"/>
      <c r="I170" s="2" t="n"/>
      <c r="J170" s="2" t="n"/>
      <c r="K170" s="2" t="n"/>
      <c r="L170" s="2" t="n"/>
    </row>
    <row r="171" ht="14.25" customHeight="1" s="46">
      <c r="A171" s="2" t="n"/>
      <c r="B171" s="2" t="n"/>
      <c r="C171" s="2" t="n"/>
      <c r="D171" s="2" t="n"/>
      <c r="E171" s="2" t="n"/>
      <c r="F171" s="2" t="n"/>
      <c r="G171" s="2" t="n"/>
      <c r="H171" s="2" t="n"/>
      <c r="I171" s="2" t="n"/>
      <c r="J171" s="2" t="n"/>
      <c r="K171" s="2" t="n"/>
      <c r="L171" s="2" t="n"/>
    </row>
    <row r="172" ht="14.25" customHeight="1" s="46">
      <c r="A172" s="2" t="n"/>
      <c r="B172" s="2" t="n"/>
      <c r="C172" s="2" t="n"/>
      <c r="D172" s="2" t="n"/>
      <c r="E172" s="2" t="n"/>
      <c r="F172" s="2" t="n"/>
      <c r="G172" s="2" t="n"/>
      <c r="H172" s="2" t="n"/>
      <c r="I172" s="2" t="n"/>
      <c r="J172" s="2" t="n"/>
      <c r="K172" s="2" t="n"/>
      <c r="L172" s="2" t="n"/>
    </row>
    <row r="173" ht="14.25" customHeight="1" s="46">
      <c r="A173" s="2" t="n"/>
      <c r="B173" s="2" t="n"/>
      <c r="C173" s="2" t="n"/>
      <c r="D173" s="2" t="n"/>
      <c r="E173" s="2" t="n"/>
      <c r="F173" s="2" t="n"/>
      <c r="G173" s="2" t="n"/>
      <c r="H173" s="2" t="n"/>
      <c r="I173" s="2" t="n"/>
      <c r="J173" s="2" t="n"/>
      <c r="K173" s="2" t="n"/>
      <c r="L173" s="2" t="n"/>
    </row>
    <row r="174" ht="14.25" customHeight="1" s="46">
      <c r="A174" s="2" t="n"/>
      <c r="B174" s="2" t="n"/>
      <c r="C174" s="2" t="n"/>
      <c r="D174" s="2" t="n"/>
      <c r="E174" s="2" t="n"/>
      <c r="F174" s="2" t="n"/>
      <c r="G174" s="2" t="n"/>
      <c r="H174" s="2" t="n"/>
      <c r="I174" s="2" t="n"/>
      <c r="J174" s="2" t="n"/>
      <c r="K174" s="2" t="n"/>
      <c r="L174" s="2" t="n"/>
    </row>
    <row r="175" ht="14.25" customHeight="1" s="46">
      <c r="A175" s="2" t="n"/>
      <c r="B175" s="2" t="n"/>
      <c r="C175" s="2" t="n"/>
      <c r="D175" s="2" t="n"/>
      <c r="E175" s="2" t="n"/>
      <c r="F175" s="2" t="n"/>
      <c r="G175" s="2" t="n"/>
      <c r="H175" s="2" t="n"/>
      <c r="I175" s="2" t="n"/>
      <c r="J175" s="2" t="n"/>
      <c r="K175" s="2" t="n"/>
      <c r="L175" s="2" t="n"/>
    </row>
    <row r="176" ht="14.25" customHeight="1" s="46">
      <c r="A176" s="2" t="n"/>
      <c r="B176" s="2" t="n"/>
      <c r="C176" s="2" t="n"/>
      <c r="D176" s="2" t="n"/>
      <c r="E176" s="2" t="n"/>
      <c r="F176" s="2" t="n"/>
      <c r="G176" s="2" t="n"/>
      <c r="H176" s="2" t="n"/>
      <c r="I176" s="2" t="n"/>
      <c r="J176" s="2" t="n"/>
      <c r="K176" s="2" t="n"/>
      <c r="L176" s="2" t="n"/>
    </row>
    <row r="177" ht="14.25" customHeight="1" s="46">
      <c r="A177" s="2" t="n"/>
      <c r="B177" s="2" t="n"/>
      <c r="C177" s="2" t="n"/>
      <c r="D177" s="2" t="n"/>
      <c r="E177" s="2" t="n"/>
      <c r="F177" s="2" t="n"/>
      <c r="G177" s="2" t="n"/>
      <c r="H177" s="2" t="n"/>
      <c r="I177" s="2" t="n"/>
      <c r="J177" s="2" t="n"/>
      <c r="K177" s="2" t="n"/>
      <c r="L177" s="2" t="n"/>
    </row>
    <row r="178" ht="14.25" customHeight="1" s="46">
      <c r="A178" s="2" t="n"/>
      <c r="B178" s="2" t="n"/>
      <c r="C178" s="2" t="n"/>
      <c r="D178" s="2" t="n"/>
      <c r="E178" s="2" t="n"/>
      <c r="F178" s="2" t="n"/>
      <c r="G178" s="2" t="n"/>
      <c r="H178" s="2" t="n"/>
      <c r="I178" s="2" t="n"/>
      <c r="J178" s="2" t="n"/>
      <c r="K178" s="2" t="n"/>
      <c r="L178" s="2" t="n"/>
    </row>
    <row r="179" ht="14.25" customHeight="1" s="46">
      <c r="A179" s="2" t="n"/>
      <c r="B179" s="2" t="n"/>
      <c r="C179" s="2" t="n"/>
      <c r="D179" s="2" t="n"/>
      <c r="E179" s="2" t="n"/>
      <c r="F179" s="2" t="n"/>
      <c r="G179" s="2" t="n"/>
      <c r="H179" s="2" t="n"/>
      <c r="I179" s="2" t="n"/>
      <c r="J179" s="2" t="n"/>
      <c r="K179" s="2" t="n"/>
      <c r="L179" s="2" t="n"/>
    </row>
    <row r="180" ht="14.25" customHeight="1" s="46">
      <c r="A180" s="2" t="n"/>
      <c r="B180" s="2" t="n"/>
      <c r="C180" s="2" t="n"/>
      <c r="D180" s="2" t="n"/>
      <c r="E180" s="2" t="n"/>
      <c r="F180" s="2" t="n"/>
      <c r="G180" s="2" t="n"/>
      <c r="H180" s="2" t="n"/>
      <c r="I180" s="2" t="n"/>
      <c r="J180" s="2" t="n"/>
      <c r="K180" s="2" t="n"/>
      <c r="L180" s="2" t="n"/>
    </row>
    <row r="181" ht="14.25" customHeight="1" s="46">
      <c r="A181" s="2" t="n"/>
      <c r="B181" s="2" t="n"/>
      <c r="C181" s="2" t="n"/>
      <c r="D181" s="2" t="n"/>
      <c r="E181" s="2" t="n"/>
      <c r="F181" s="2" t="n"/>
      <c r="G181" s="2" t="n"/>
      <c r="H181" s="2" t="n"/>
      <c r="I181" s="2" t="n"/>
      <c r="J181" s="2" t="n"/>
      <c r="K181" s="2" t="n"/>
      <c r="L181" s="2" t="n"/>
    </row>
    <row r="182" ht="14.25" customHeight="1" s="46">
      <c r="A182" s="2" t="n"/>
      <c r="B182" s="2" t="n"/>
      <c r="C182" s="2" t="n"/>
      <c r="D182" s="2" t="n"/>
      <c r="E182" s="2" t="n"/>
      <c r="F182" s="2" t="n"/>
      <c r="G182" s="2" t="n"/>
      <c r="H182" s="2" t="n"/>
      <c r="I182" s="2" t="n"/>
      <c r="J182" s="2" t="n"/>
      <c r="K182" s="2" t="n"/>
      <c r="L182" s="2" t="n"/>
    </row>
    <row r="183" ht="14.25" customHeight="1" s="46">
      <c r="A183" s="2" t="n"/>
      <c r="B183" s="2" t="n"/>
      <c r="C183" s="2" t="n"/>
      <c r="D183" s="2" t="n"/>
      <c r="E183" s="2" t="n"/>
      <c r="F183" s="2" t="n"/>
      <c r="G183" s="2" t="n"/>
      <c r="H183" s="2" t="n"/>
      <c r="I183" s="2" t="n"/>
      <c r="J183" s="2" t="n"/>
      <c r="K183" s="2" t="n"/>
      <c r="L183" s="2" t="n"/>
    </row>
    <row r="184" ht="14.25" customHeight="1" s="46">
      <c r="A184" s="2" t="n"/>
      <c r="B184" s="2" t="n"/>
      <c r="C184" s="2" t="n"/>
      <c r="D184" s="2" t="n"/>
      <c r="E184" s="2" t="n"/>
      <c r="F184" s="2" t="n"/>
      <c r="G184" s="2" t="n"/>
      <c r="H184" s="2" t="n"/>
      <c r="I184" s="2" t="n"/>
      <c r="J184" s="2" t="n"/>
      <c r="K184" s="2" t="n"/>
      <c r="L184" s="2" t="n"/>
    </row>
    <row r="185" ht="14.25" customHeight="1" s="46">
      <c r="A185" s="2" t="n"/>
      <c r="B185" s="2" t="n"/>
      <c r="C185" s="2" t="n"/>
      <c r="D185" s="2" t="n"/>
      <c r="E185" s="2" t="n"/>
      <c r="F185" s="2" t="n"/>
      <c r="G185" s="2" t="n"/>
      <c r="H185" s="2" t="n"/>
      <c r="I185" s="2" t="n"/>
      <c r="J185" s="2" t="n"/>
      <c r="K185" s="2" t="n"/>
      <c r="L185" s="2" t="n"/>
    </row>
    <row r="186" ht="14.25" customHeight="1" s="46">
      <c r="A186" s="2" t="n"/>
      <c r="B186" s="2" t="n"/>
      <c r="C186" s="2" t="n"/>
      <c r="D186" s="2" t="n"/>
      <c r="E186" s="2" t="n"/>
      <c r="F186" s="2" t="n"/>
      <c r="G186" s="2" t="n"/>
      <c r="H186" s="2" t="n"/>
      <c r="I186" s="2" t="n"/>
      <c r="J186" s="2" t="n"/>
      <c r="K186" s="2" t="n"/>
      <c r="L186" s="2" t="n"/>
    </row>
    <row r="187" ht="14.25" customHeight="1" s="46">
      <c r="A187" s="2" t="n"/>
      <c r="B187" s="2" t="n"/>
      <c r="C187" s="2" t="n"/>
      <c r="D187" s="2" t="n"/>
      <c r="E187" s="2" t="n"/>
      <c r="F187" s="2" t="n"/>
      <c r="G187" s="2" t="n"/>
      <c r="H187" s="2" t="n"/>
      <c r="I187" s="2" t="n"/>
      <c r="J187" s="2" t="n"/>
      <c r="K187" s="2" t="n"/>
      <c r="L187" s="2" t="n"/>
    </row>
    <row r="188" ht="14.25" customHeight="1" s="46">
      <c r="A188" s="2" t="n"/>
      <c r="B188" s="2" t="n"/>
      <c r="C188" s="2" t="n"/>
      <c r="D188" s="2" t="n"/>
      <c r="E188" s="2" t="n"/>
      <c r="F188" s="2" t="n"/>
      <c r="G188" s="2" t="n"/>
      <c r="H188" s="2" t="n"/>
      <c r="I188" s="2" t="n"/>
      <c r="J188" s="2" t="n"/>
      <c r="K188" s="2" t="n"/>
      <c r="L188" s="2" t="n"/>
    </row>
    <row r="189" ht="14.25" customHeight="1" s="46">
      <c r="A189" s="2" t="n"/>
      <c r="B189" s="2" t="n"/>
      <c r="C189" s="2" t="n"/>
      <c r="D189" s="2" t="n"/>
      <c r="E189" s="2" t="n"/>
      <c r="F189" s="2" t="n"/>
      <c r="G189" s="2" t="n"/>
      <c r="H189" s="2" t="n"/>
      <c r="I189" s="2" t="n"/>
      <c r="J189" s="2" t="n"/>
      <c r="K189" s="2" t="n"/>
      <c r="L189" s="2" t="n"/>
    </row>
    <row r="190" ht="14.25" customHeight="1" s="46">
      <c r="A190" s="2" t="n"/>
      <c r="B190" s="2" t="n"/>
      <c r="C190" s="2" t="n"/>
      <c r="D190" s="2" t="n"/>
      <c r="E190" s="2" t="n"/>
      <c r="F190" s="2" t="n"/>
      <c r="G190" s="2" t="n"/>
      <c r="H190" s="2" t="n"/>
      <c r="I190" s="2" t="n"/>
      <c r="J190" s="2" t="n"/>
      <c r="K190" s="2" t="n"/>
      <c r="L190" s="2" t="n"/>
    </row>
    <row r="191" ht="14.25" customHeight="1" s="46">
      <c r="A191" s="2" t="n"/>
      <c r="B191" s="2" t="n"/>
      <c r="C191" s="2" t="n"/>
      <c r="D191" s="2" t="n"/>
      <c r="E191" s="2" t="n"/>
      <c r="F191" s="2" t="n"/>
      <c r="G191" s="2" t="n"/>
      <c r="H191" s="2" t="n"/>
      <c r="I191" s="2" t="n"/>
      <c r="J191" s="2" t="n"/>
      <c r="K191" s="2" t="n"/>
      <c r="L191" s="2" t="n"/>
    </row>
    <row r="192" ht="14.25" customHeight="1" s="46">
      <c r="A192" s="2" t="n"/>
      <c r="B192" s="2" t="n"/>
      <c r="C192" s="2" t="n"/>
      <c r="D192" s="2" t="n"/>
      <c r="E192" s="2" t="n"/>
      <c r="F192" s="2" t="n"/>
      <c r="G192" s="2" t="n"/>
      <c r="H192" s="2" t="n"/>
      <c r="I192" s="2" t="n"/>
      <c r="J192" s="2" t="n"/>
      <c r="K192" s="2" t="n"/>
      <c r="L192" s="2" t="n"/>
    </row>
    <row r="193" ht="14.25" customHeight="1" s="46">
      <c r="A193" s="2" t="n"/>
      <c r="B193" s="2" t="n"/>
      <c r="C193" s="2" t="n"/>
      <c r="D193" s="2" t="n"/>
      <c r="E193" s="2" t="n"/>
      <c r="F193" s="2" t="n"/>
      <c r="G193" s="2" t="n"/>
      <c r="H193" s="2" t="n"/>
      <c r="I193" s="2" t="n"/>
      <c r="J193" s="2" t="n"/>
      <c r="K193" s="2" t="n"/>
      <c r="L193" s="2" t="n"/>
    </row>
    <row r="194" ht="14.25" customHeight="1" s="46">
      <c r="A194" s="2" t="n"/>
      <c r="B194" s="2" t="n"/>
      <c r="C194" s="2" t="n"/>
      <c r="D194" s="2" t="n"/>
      <c r="E194" s="2" t="n"/>
      <c r="F194" s="2" t="n"/>
      <c r="G194" s="2" t="n"/>
      <c r="H194" s="2" t="n"/>
      <c r="I194" s="2" t="n"/>
      <c r="J194" s="2" t="n"/>
      <c r="K194" s="2" t="n"/>
      <c r="L194" s="2" t="n"/>
    </row>
    <row r="195" ht="14.25" customHeight="1" s="46">
      <c r="A195" s="2" t="n"/>
      <c r="B195" s="2" t="n"/>
      <c r="C195" s="2" t="n"/>
      <c r="D195" s="2" t="n"/>
      <c r="E195" s="2" t="n"/>
      <c r="F195" s="2" t="n"/>
      <c r="G195" s="2" t="n"/>
      <c r="H195" s="2" t="n"/>
      <c r="I195" s="2" t="n"/>
      <c r="J195" s="2" t="n"/>
      <c r="K195" s="2" t="n"/>
      <c r="L195" s="2" t="n"/>
    </row>
    <row r="196" ht="14.25" customHeight="1" s="46">
      <c r="A196" s="2" t="n"/>
      <c r="B196" s="2" t="n"/>
      <c r="C196" s="2" t="n"/>
      <c r="D196" s="2" t="n"/>
      <c r="E196" s="2" t="n"/>
      <c r="F196" s="2" t="n"/>
      <c r="G196" s="2" t="n"/>
      <c r="H196" s="2" t="n"/>
      <c r="I196" s="2" t="n"/>
      <c r="J196" s="2" t="n"/>
      <c r="K196" s="2" t="n"/>
      <c r="L196" s="2" t="n"/>
    </row>
    <row r="197" ht="14.25" customHeight="1" s="46">
      <c r="A197" s="2" t="n"/>
      <c r="B197" s="2" t="n"/>
      <c r="C197" s="2" t="n"/>
      <c r="D197" s="2" t="n"/>
      <c r="E197" s="2" t="n"/>
      <c r="F197" s="2" t="n"/>
      <c r="G197" s="2" t="n"/>
      <c r="H197" s="2" t="n"/>
      <c r="I197" s="2" t="n"/>
      <c r="J197" s="2" t="n"/>
      <c r="K197" s="2" t="n"/>
      <c r="L197" s="2" t="n"/>
    </row>
    <row r="198" ht="14.25" customHeight="1" s="46">
      <c r="A198" s="2" t="n"/>
      <c r="B198" s="2" t="n"/>
      <c r="C198" s="2" t="n"/>
      <c r="D198" s="2" t="n"/>
      <c r="E198" s="2" t="n"/>
      <c r="F198" s="2" t="n"/>
      <c r="G198" s="2" t="n"/>
      <c r="H198" s="2" t="n"/>
      <c r="I198" s="2" t="n"/>
      <c r="J198" s="2" t="n"/>
      <c r="K198" s="2" t="n"/>
      <c r="L198" s="2" t="n"/>
    </row>
    <row r="199" ht="14.25" customHeight="1" s="46">
      <c r="A199" s="2" t="n"/>
      <c r="B199" s="2" t="n"/>
      <c r="C199" s="2" t="n"/>
      <c r="D199" s="2" t="n"/>
      <c r="E199" s="2" t="n"/>
      <c r="F199" s="2" t="n"/>
      <c r="G199" s="2" t="n"/>
      <c r="H199" s="2" t="n"/>
      <c r="I199" s="2" t="n"/>
      <c r="J199" s="2" t="n"/>
      <c r="K199" s="2" t="n"/>
      <c r="L199" s="2" t="n"/>
    </row>
    <row r="200" ht="14.25" customHeight="1" s="46">
      <c r="A200" s="2" t="n"/>
      <c r="B200" s="2" t="n"/>
      <c r="C200" s="2" t="n"/>
      <c r="D200" s="2" t="n"/>
      <c r="E200" s="2" t="n"/>
      <c r="F200" s="2" t="n"/>
      <c r="G200" s="2" t="n"/>
      <c r="H200" s="2" t="n"/>
      <c r="I200" s="2" t="n"/>
      <c r="J200" s="2" t="n"/>
      <c r="K200" s="2" t="n"/>
      <c r="L200" s="2" t="n"/>
    </row>
    <row r="201" ht="14.25" customHeight="1" s="46">
      <c r="A201" s="2" t="n"/>
      <c r="B201" s="2" t="n"/>
      <c r="C201" s="2" t="n"/>
      <c r="D201" s="2" t="n"/>
      <c r="E201" s="2" t="n"/>
      <c r="F201" s="2" t="n"/>
      <c r="G201" s="2" t="n"/>
      <c r="H201" s="2" t="n"/>
      <c r="I201" s="2" t="n"/>
      <c r="J201" s="2" t="n"/>
      <c r="K201" s="2" t="n"/>
      <c r="L201" s="2" t="n"/>
    </row>
    <row r="202" ht="14.25" customHeight="1" s="46">
      <c r="A202" s="2" t="n"/>
      <c r="B202" s="2" t="n"/>
      <c r="C202" s="2" t="n"/>
      <c r="D202" s="2" t="n"/>
      <c r="E202" s="2" t="n"/>
      <c r="F202" s="2" t="n"/>
      <c r="G202" s="2" t="n"/>
      <c r="H202" s="2" t="n"/>
      <c r="I202" s="2" t="n"/>
      <c r="J202" s="2" t="n"/>
      <c r="K202" s="2" t="n"/>
      <c r="L202" s="2" t="n"/>
    </row>
    <row r="203" ht="14.25" customHeight="1" s="46">
      <c r="A203" s="2" t="n"/>
      <c r="B203" s="2" t="n"/>
      <c r="C203" s="2" t="n"/>
      <c r="D203" s="2" t="n"/>
      <c r="E203" s="2" t="n"/>
      <c r="F203" s="2" t="n"/>
      <c r="G203" s="2" t="n"/>
      <c r="H203" s="2" t="n"/>
      <c r="I203" s="2" t="n"/>
      <c r="J203" s="2" t="n"/>
      <c r="K203" s="2" t="n"/>
      <c r="L203" s="2" t="n"/>
    </row>
    <row r="204" ht="14.25" customHeight="1" s="46">
      <c r="A204" s="2" t="n"/>
      <c r="B204" s="2" t="n"/>
      <c r="C204" s="2" t="n"/>
      <c r="D204" s="2" t="n"/>
      <c r="E204" s="2" t="n"/>
      <c r="F204" s="2" t="n"/>
      <c r="G204" s="2" t="n"/>
      <c r="H204" s="2" t="n"/>
      <c r="I204" s="2" t="n"/>
      <c r="J204" s="2" t="n"/>
      <c r="K204" s="2" t="n"/>
      <c r="L204" s="2" t="n"/>
    </row>
    <row r="205" ht="14.25" customHeight="1" s="46">
      <c r="A205" s="2" t="n"/>
      <c r="B205" s="2" t="n"/>
      <c r="C205" s="2" t="n"/>
      <c r="D205" s="2" t="n"/>
      <c r="E205" s="2" t="n"/>
      <c r="F205" s="2" t="n"/>
      <c r="G205" s="2" t="n"/>
      <c r="H205" s="2" t="n"/>
      <c r="I205" s="2" t="n"/>
      <c r="J205" s="2" t="n"/>
      <c r="K205" s="2" t="n"/>
      <c r="L205" s="2" t="n"/>
    </row>
    <row r="206" ht="14.25" customHeight="1" s="46">
      <c r="A206" s="2" t="n"/>
      <c r="B206" s="2" t="n"/>
      <c r="C206" s="2" t="n"/>
      <c r="D206" s="2" t="n"/>
      <c r="E206" s="2" t="n"/>
      <c r="F206" s="2" t="n"/>
      <c r="G206" s="2" t="n"/>
      <c r="H206" s="2" t="n"/>
      <c r="I206" s="2" t="n"/>
      <c r="J206" s="2" t="n"/>
      <c r="K206" s="2" t="n"/>
      <c r="L206" s="2" t="n"/>
    </row>
    <row r="207" ht="14.25" customHeight="1" s="46">
      <c r="A207" s="2" t="n"/>
      <c r="B207" s="2" t="n"/>
      <c r="C207" s="2" t="n"/>
      <c r="D207" s="2" t="n"/>
      <c r="E207" s="2" t="n"/>
      <c r="F207" s="2" t="n"/>
      <c r="G207" s="2" t="n"/>
      <c r="H207" s="2" t="n"/>
      <c r="I207" s="2" t="n"/>
      <c r="J207" s="2" t="n"/>
      <c r="K207" s="2" t="n"/>
      <c r="L207" s="2" t="n"/>
    </row>
    <row r="208" ht="14.25" customHeight="1" s="46">
      <c r="A208" s="2" t="n"/>
      <c r="B208" s="2" t="n"/>
      <c r="C208" s="2" t="n"/>
      <c r="D208" s="2" t="n"/>
      <c r="E208" s="2" t="n"/>
      <c r="F208" s="2" t="n"/>
      <c r="G208" s="2" t="n"/>
      <c r="H208" s="2" t="n"/>
      <c r="I208" s="2" t="n"/>
      <c r="J208" s="2" t="n"/>
      <c r="K208" s="2" t="n"/>
      <c r="L208" s="2" t="n"/>
    </row>
    <row r="209" ht="14.25" customHeight="1" s="46">
      <c r="A209" s="2" t="n"/>
      <c r="B209" s="2" t="n"/>
      <c r="C209" s="2" t="n"/>
      <c r="D209" s="2" t="n"/>
      <c r="E209" s="2" t="n"/>
      <c r="F209" s="2" t="n"/>
      <c r="G209" s="2" t="n"/>
      <c r="H209" s="2" t="n"/>
      <c r="I209" s="2" t="n"/>
      <c r="J209" s="2" t="n"/>
      <c r="K209" s="2" t="n"/>
      <c r="L209" s="2" t="n"/>
    </row>
    <row r="210" ht="14.25" customHeight="1" s="46">
      <c r="A210" s="2" t="n"/>
      <c r="B210" s="2" t="n"/>
      <c r="C210" s="2" t="n"/>
      <c r="D210" s="2" t="n"/>
      <c r="E210" s="2" t="n"/>
      <c r="F210" s="2" t="n"/>
      <c r="G210" s="2" t="n"/>
      <c r="H210" s="2" t="n"/>
      <c r="I210" s="2" t="n"/>
      <c r="J210" s="2" t="n"/>
      <c r="K210" s="2" t="n"/>
      <c r="L210" s="2" t="n"/>
    </row>
    <row r="211" ht="14.25" customHeight="1" s="46">
      <c r="A211" s="2" t="n"/>
      <c r="B211" s="2" t="n"/>
      <c r="C211" s="2" t="n"/>
      <c r="D211" s="2" t="n"/>
      <c r="E211" s="2" t="n"/>
      <c r="F211" s="2" t="n"/>
      <c r="G211" s="2" t="n"/>
      <c r="H211" s="2" t="n"/>
      <c r="I211" s="2" t="n"/>
      <c r="J211" s="2" t="n"/>
      <c r="K211" s="2" t="n"/>
      <c r="L211" s="2" t="n"/>
    </row>
    <row r="212" ht="14.25" customHeight="1" s="46">
      <c r="A212" s="2" t="n"/>
      <c r="B212" s="2" t="n"/>
      <c r="C212" s="2" t="n"/>
      <c r="D212" s="2" t="n"/>
      <c r="E212" s="2" t="n"/>
      <c r="F212" s="2" t="n"/>
      <c r="G212" s="2" t="n"/>
      <c r="H212" s="2" t="n"/>
      <c r="I212" s="2" t="n"/>
      <c r="J212" s="2" t="n"/>
      <c r="K212" s="2" t="n"/>
      <c r="L212" s="2" t="n"/>
    </row>
    <row r="213" ht="14.25" customHeight="1" s="46">
      <c r="A213" s="2" t="n"/>
      <c r="B213" s="2" t="n"/>
      <c r="C213" s="2" t="n"/>
      <c r="D213" s="2" t="n"/>
      <c r="E213" s="2" t="n"/>
      <c r="F213" s="2" t="n"/>
      <c r="G213" s="2" t="n"/>
      <c r="H213" s="2" t="n"/>
      <c r="I213" s="2" t="n"/>
      <c r="J213" s="2" t="n"/>
      <c r="K213" s="2" t="n"/>
      <c r="L213" s="2" t="n"/>
    </row>
    <row r="214" ht="14.25" customHeight="1" s="46">
      <c r="A214" s="2" t="n"/>
      <c r="B214" s="2" t="n"/>
      <c r="C214" s="2" t="n"/>
      <c r="D214" s="2" t="n"/>
      <c r="E214" s="2" t="n"/>
      <c r="F214" s="2" t="n"/>
      <c r="G214" s="2" t="n"/>
      <c r="H214" s="2" t="n"/>
      <c r="I214" s="2" t="n"/>
      <c r="J214" s="2" t="n"/>
      <c r="K214" s="2" t="n"/>
      <c r="L214" s="2" t="n"/>
    </row>
    <row r="215" ht="14.25" customHeight="1" s="46">
      <c r="A215" s="2" t="n"/>
      <c r="B215" s="2" t="n"/>
      <c r="C215" s="2" t="n"/>
      <c r="D215" s="2" t="n"/>
      <c r="E215" s="2" t="n"/>
      <c r="F215" s="2" t="n"/>
      <c r="G215" s="2" t="n"/>
      <c r="H215" s="2" t="n"/>
      <c r="I215" s="2" t="n"/>
      <c r="J215" s="2" t="n"/>
      <c r="K215" s="2" t="n"/>
      <c r="L215" s="2" t="n"/>
    </row>
    <row r="216" ht="14.25" customHeight="1" s="46">
      <c r="A216" s="2" t="n"/>
      <c r="B216" s="2" t="n"/>
      <c r="C216" s="2" t="n"/>
      <c r="D216" s="2" t="n"/>
      <c r="E216" s="2" t="n"/>
      <c r="F216" s="2" t="n"/>
      <c r="G216" s="2" t="n"/>
      <c r="H216" s="2" t="n"/>
      <c r="I216" s="2" t="n"/>
      <c r="J216" s="2" t="n"/>
      <c r="K216" s="2" t="n"/>
      <c r="L216" s="2" t="n"/>
    </row>
    <row r="217" ht="14.25" customHeight="1" s="46">
      <c r="A217" s="2" t="n"/>
      <c r="B217" s="2" t="n"/>
      <c r="C217" s="2" t="n"/>
      <c r="D217" s="2" t="n"/>
      <c r="E217" s="2" t="n"/>
      <c r="F217" s="2" t="n"/>
      <c r="G217" s="2" t="n"/>
      <c r="H217" s="2" t="n"/>
      <c r="I217" s="2" t="n"/>
      <c r="J217" s="2" t="n"/>
      <c r="K217" s="2" t="n"/>
      <c r="L217" s="2" t="n"/>
    </row>
    <row r="218" ht="14.25" customHeight="1" s="46">
      <c r="A218" s="2" t="n"/>
      <c r="B218" s="2" t="n"/>
      <c r="C218" s="2" t="n"/>
      <c r="D218" s="2" t="n"/>
      <c r="E218" s="2" t="n"/>
      <c r="F218" s="2" t="n"/>
      <c r="G218" s="2" t="n"/>
      <c r="H218" s="2" t="n"/>
      <c r="I218" s="2" t="n"/>
      <c r="J218" s="2" t="n"/>
      <c r="K218" s="2" t="n"/>
      <c r="L218" s="2" t="n"/>
    </row>
    <row r="219" ht="14.25" customHeight="1" s="46">
      <c r="A219" s="2" t="n"/>
      <c r="B219" s="2" t="n"/>
      <c r="C219" s="2" t="n"/>
      <c r="D219" s="2" t="n"/>
      <c r="E219" s="2" t="n"/>
      <c r="F219" s="2" t="n"/>
      <c r="G219" s="2" t="n"/>
      <c r="H219" s="2" t="n"/>
      <c r="I219" s="2" t="n"/>
      <c r="J219" s="2" t="n"/>
      <c r="K219" s="2" t="n"/>
      <c r="L219" s="2" t="n"/>
    </row>
    <row r="220" ht="14.25" customHeight="1" s="46">
      <c r="A220" s="2" t="n"/>
      <c r="B220" s="2" t="n"/>
      <c r="C220" s="2" t="n"/>
      <c r="D220" s="2" t="n"/>
      <c r="E220" s="2" t="n"/>
      <c r="F220" s="2" t="n"/>
      <c r="G220" s="2" t="n"/>
      <c r="H220" s="2" t="n"/>
      <c r="I220" s="2" t="n"/>
      <c r="J220" s="2" t="n"/>
      <c r="K220" s="2" t="n"/>
      <c r="L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G264"/>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46" min="1" max="1"/>
    <col width="13" customWidth="1" style="46" min="2" max="2"/>
    <col width="32" customWidth="1" style="46" min="3" max="3"/>
    <col width="66" customWidth="1" style="46" min="4" max="4"/>
    <col width="6" customWidth="1" style="46" min="5" max="5"/>
    <col width="22" customWidth="1" style="46" min="6" max="6"/>
    <col width="26" customWidth="1" style="46" min="7" max="7"/>
  </cols>
  <sheetData>
    <row r="1" ht="17.25" customHeight="1" s="46">
      <c r="A1" s="1" t="inlineStr">
        <is>
          <t>Step 3: every good after the rework, its source and its uses</t>
        </is>
      </c>
      <c r="B1" s="2" t="n"/>
      <c r="C1" s="2" t="n"/>
      <c r="D1" s="2" t="n"/>
      <c r="E1" s="2" t="n"/>
      <c r="F1" s="2" t="n"/>
      <c r="G1" s="2" t="n"/>
    </row>
    <row r="2" ht="15" customHeight="1" s="46">
      <c r="A2" s="3" t="inlineStr">
        <is>
          <t>Built by hand from steps 1-3. G14: foods are used by being eaten, intermediates need their chain, finished goods two uses.</t>
        </is>
      </c>
      <c r="B2" s="2" t="n"/>
      <c r="C2" s="2" t="n"/>
      <c r="D2" s="2" t="n"/>
      <c r="E2" s="2" t="n"/>
      <c r="F2" s="2" t="n"/>
      <c r="G2" s="2" t="n"/>
    </row>
    <row r="3" ht="14.25" customHeight="1" s="46">
      <c r="A3" s="2" t="n"/>
      <c r="B3" s="2" t="n"/>
      <c r="C3" s="2" t="n"/>
      <c r="D3" s="2" t="n"/>
      <c r="E3" s="2" t="n"/>
      <c r="F3" s="2" t="n"/>
      <c r="G3" s="2" t="n"/>
    </row>
    <row r="4" ht="15" customHeight="1" s="46">
      <c r="A4" s="9" t="inlineStr">
        <is>
          <t>Good</t>
        </is>
      </c>
      <c r="B4" s="9" t="inlineStr">
        <is>
          <t>Kind</t>
        </is>
      </c>
      <c r="C4" s="9" t="inlineStr">
        <is>
          <t>Made by</t>
        </is>
      </c>
      <c r="D4" s="9" t="inlineStr">
        <is>
          <t>Used by</t>
        </is>
      </c>
      <c r="E4" s="9" t="inlineStr">
        <is>
          <t>Uses</t>
        </is>
      </c>
      <c r="F4" s="9" t="inlineStr">
        <is>
          <t>G14</t>
        </is>
      </c>
      <c r="G4" s="9" t="inlineStr">
        <is>
          <t>Your notes</t>
        </is>
      </c>
    </row>
    <row r="5" ht="13.5" customHeight="1" s="46">
      <c r="A5" s="10" t="inlineStr">
        <is>
          <t>Building materials</t>
        </is>
      </c>
      <c r="B5" s="10" t="n"/>
      <c r="C5" s="10" t="n"/>
      <c r="D5" s="10" t="n"/>
      <c r="E5" s="10" t="n"/>
      <c r="F5" s="10" t="n"/>
      <c r="G5" s="10" t="n"/>
    </row>
    <row r="6" ht="27.75" customHeight="1" s="46">
      <c r="A6" s="7" t="inlineStr">
        <is>
          <t>Timber</t>
        </is>
      </c>
      <c r="B6" s="7" t="inlineStr">
        <is>
          <t>material</t>
        </is>
      </c>
      <c r="C6" s="7" t="inlineStr">
        <is>
          <t>Woodcutter</t>
        </is>
      </c>
      <c r="D6" s="7" t="inlineStr">
        <is>
          <t>build costs; sawmill; charcoal burner; blacksmith</t>
        </is>
      </c>
      <c r="E6" s="7" t="n">
        <v>4</v>
      </c>
      <c r="F6" s="30" t="inlineStr">
        <is>
          <t>OK</t>
        </is>
      </c>
      <c r="G6" s="45" t="n"/>
    </row>
    <row r="7" ht="27.75" customHeight="1" s="46">
      <c r="A7" s="7" t="inlineStr">
        <is>
          <t>Firewood</t>
        </is>
      </c>
      <c r="B7" s="7" t="inlineStr">
        <is>
          <t>fuel</t>
        </is>
      </c>
      <c r="C7" s="7" t="inlineStr">
        <is>
          <t>Woodcutter</t>
        </is>
      </c>
      <c r="D7" s="7" t="inlineStr">
        <is>
          <t>home heating; fuel for every fire workshop (G18)</t>
        </is>
      </c>
      <c r="E7" s="7" t="n">
        <v>2</v>
      </c>
      <c r="F7" s="30" t="inlineStr">
        <is>
          <t>OK</t>
        </is>
      </c>
      <c r="G7" s="45" t="n"/>
    </row>
    <row r="8" ht="13.5" customHeight="1" s="46">
      <c r="A8" s="7" t="inlineStr">
        <is>
          <t>Planks</t>
        </is>
      </c>
      <c r="B8" s="7" t="inlineStr">
        <is>
          <t>material</t>
        </is>
      </c>
      <c r="C8" s="7" t="inlineStr">
        <is>
          <t>Sawmill</t>
        </is>
      </c>
      <c r="D8" s="7" t="inlineStr">
        <is>
          <t>build costs; carpenter; cooper</t>
        </is>
      </c>
      <c r="E8" s="7" t="n">
        <v>3</v>
      </c>
      <c r="F8" s="30" t="inlineStr">
        <is>
          <t>OK</t>
        </is>
      </c>
      <c r="G8" s="45" t="n"/>
    </row>
    <row r="9" ht="13.5" customHeight="1" s="46">
      <c r="A9" s="7" t="inlineStr">
        <is>
          <t>Wood parts</t>
        </is>
      </c>
      <c r="B9" s="7" t="inlineStr">
        <is>
          <t>material</t>
        </is>
      </c>
      <c r="C9" s="7" t="inlineStr">
        <is>
          <t>Carpenter</t>
        </is>
      </c>
      <c r="D9" s="7" t="inlineStr">
        <is>
          <t>build costs; upkeep</t>
        </is>
      </c>
      <c r="E9" s="7" t="n">
        <v>2</v>
      </c>
      <c r="F9" s="30" t="inlineStr">
        <is>
          <t>OK</t>
        </is>
      </c>
      <c r="G9" s="45" t="n"/>
    </row>
    <row r="10" ht="27.75" customHeight="1" s="46">
      <c r="A10" s="7" t="inlineStr">
        <is>
          <t>Stone</t>
        </is>
      </c>
      <c r="B10" s="7" t="inlineStr">
        <is>
          <t>material</t>
        </is>
      </c>
      <c r="C10" s="7" t="inlineStr">
        <is>
          <t>Quarry</t>
        </is>
      </c>
      <c r="D10" s="7" t="inlineStr">
        <is>
          <t>build costs; stonemason; lime kiln; stone roads</t>
        </is>
      </c>
      <c r="E10" s="7" t="n">
        <v>4</v>
      </c>
      <c r="F10" s="30" t="inlineStr">
        <is>
          <t>OK</t>
        </is>
      </c>
      <c r="G10" s="45" t="n"/>
    </row>
    <row r="11" ht="13.5" customHeight="1" s="46">
      <c r="A11" s="7" t="inlineStr">
        <is>
          <t>Dressed stone</t>
        </is>
      </c>
      <c r="B11" s="7" t="inlineStr">
        <is>
          <t>material</t>
        </is>
      </c>
      <c r="C11" s="7" t="inlineStr">
        <is>
          <t>Stonemason</t>
        </is>
      </c>
      <c r="D11" s="7" t="inlineStr">
        <is>
          <t>build costs; cobbled streets</t>
        </is>
      </c>
      <c r="E11" s="7" t="n">
        <v>2</v>
      </c>
      <c r="F11" s="30" t="inlineStr">
        <is>
          <t>OK</t>
        </is>
      </c>
      <c r="G11" s="45" t="n"/>
    </row>
    <row r="12" ht="13.5" customHeight="1" s="46">
      <c r="A12" s="7" t="inlineStr">
        <is>
          <t>Clay</t>
        </is>
      </c>
      <c r="B12" s="7" t="inlineStr">
        <is>
          <t>intermediate</t>
        </is>
      </c>
      <c r="C12" s="7" t="inlineStr">
        <is>
          <t>Clay Pit</t>
        </is>
      </c>
      <c r="D12" s="7" t="inlineStr">
        <is>
          <t>kiln; potter</t>
        </is>
      </c>
      <c r="E12" s="7" t="n">
        <v>2</v>
      </c>
      <c r="F12" s="30" t="inlineStr">
        <is>
          <t>OK</t>
        </is>
      </c>
      <c r="G12" s="45" t="n"/>
    </row>
    <row r="13" ht="13.5" customHeight="1" s="46">
      <c r="A13" s="7" t="inlineStr">
        <is>
          <t>Tiles</t>
        </is>
      </c>
      <c r="B13" s="7" t="inlineStr">
        <is>
          <t>material</t>
        </is>
      </c>
      <c r="C13" s="7" t="inlineStr">
        <is>
          <t>Kiln</t>
        </is>
      </c>
      <c r="D13" s="7" t="inlineStr">
        <is>
          <t>build costs (homes, churches, civic)</t>
        </is>
      </c>
      <c r="E13" s="7" t="n">
        <v>1</v>
      </c>
      <c r="F13" s="30" t="inlineStr">
        <is>
          <t>OK: many build costs</t>
        </is>
      </c>
      <c r="G13" s="45" t="n"/>
    </row>
    <row r="14" ht="13.5" customHeight="1" s="46">
      <c r="A14" s="7" t="inlineStr">
        <is>
          <t>Sand</t>
        </is>
      </c>
      <c r="B14" s="7" t="inlineStr">
        <is>
          <t>intermediate</t>
        </is>
      </c>
      <c r="C14" s="7" t="inlineStr">
        <is>
          <t>Sand Pit</t>
        </is>
      </c>
      <c r="D14" s="7" t="inlineStr">
        <is>
          <t>lime kiln; glassworks</t>
        </is>
      </c>
      <c r="E14" s="7" t="n">
        <v>2</v>
      </c>
      <c r="F14" s="30" t="inlineStr">
        <is>
          <t>OK</t>
        </is>
      </c>
      <c r="G14" s="45" t="n"/>
    </row>
    <row r="15" ht="42" customHeight="1" s="46">
      <c r="A15" s="7" t="inlineStr">
        <is>
          <t>Mortar</t>
        </is>
      </c>
      <c r="B15" s="7" t="inlineStr">
        <is>
          <t>material</t>
        </is>
      </c>
      <c r="C15" s="7" t="inlineStr">
        <is>
          <t>Lime Kiln</t>
        </is>
      </c>
      <c r="D15" s="7" t="inlineStr">
        <is>
          <t>build costs: Merchant's and Patrician houses, churches, monastery, courthouse, cathedral</t>
        </is>
      </c>
      <c r="E15" s="7" t="n">
        <v>1</v>
      </c>
      <c r="F15" s="30" t="inlineStr">
        <is>
          <t>OK: many build costs</t>
        </is>
      </c>
      <c r="G15" s="45" t="n"/>
    </row>
    <row r="16" ht="13.5" customHeight="1" s="46">
      <c r="A16" s="7" t="inlineStr">
        <is>
          <t>Charcoal</t>
        </is>
      </c>
      <c r="B16" s="7" t="inlineStr">
        <is>
          <t>fuel</t>
        </is>
      </c>
      <c r="C16" s="7" t="inlineStr">
        <is>
          <t>Charcoal Burner</t>
        </is>
      </c>
      <c r="D16" s="7" t="inlineStr">
        <is>
          <t>fuel (worth two firewood); glassworks</t>
        </is>
      </c>
      <c r="E16" s="7" t="n">
        <v>2</v>
      </c>
      <c r="F16" s="30" t="inlineStr">
        <is>
          <t>OK</t>
        </is>
      </c>
      <c r="G16" s="45" t="n"/>
    </row>
    <row r="17" ht="13.5" customHeight="1" s="46">
      <c r="A17" s="7" t="inlineStr">
        <is>
          <t>Glass</t>
        </is>
      </c>
      <c r="B17" s="7" t="inlineStr">
        <is>
          <t>material / luxury</t>
        </is>
      </c>
      <c r="C17" s="7" t="inlineStr">
        <is>
          <t>Glassworks</t>
        </is>
      </c>
      <c r="D17" s="7" t="inlineStr">
        <is>
          <t>build costs; glazier; jeweller; luxury</t>
        </is>
      </c>
      <c r="E17" s="7" t="n">
        <v>4</v>
      </c>
      <c r="F17" s="30" t="inlineStr">
        <is>
          <t>OK</t>
        </is>
      </c>
      <c r="G17" s="45" t="n"/>
    </row>
    <row r="18" ht="27.75" customHeight="1" s="46">
      <c r="A18" s="7" t="inlineStr">
        <is>
          <t>Stained glass</t>
        </is>
      </c>
      <c r="B18" s="7" t="inlineStr">
        <is>
          <t>material</t>
        </is>
      </c>
      <c r="C18" s="7" t="inlineStr">
        <is>
          <t>Glazier's Workshop</t>
        </is>
      </c>
      <c r="D18" s="7" t="inlineStr">
        <is>
          <t>Patrician House; cathedral; cathedral windows commission</t>
        </is>
      </c>
      <c r="E18" s="7" t="n">
        <v>3</v>
      </c>
      <c r="F18" s="30" t="inlineStr">
        <is>
          <t>OK</t>
        </is>
      </c>
      <c r="G18" s="45" t="n"/>
    </row>
    <row r="19" ht="13.5" customHeight="1" s="46">
      <c r="A19" s="7" t="inlineStr">
        <is>
          <t>Ore</t>
        </is>
      </c>
      <c r="B19" s="7" t="inlineStr">
        <is>
          <t>intermediate</t>
        </is>
      </c>
      <c r="C19" s="7" t="inlineStr">
        <is>
          <t>Bog Iron Pit</t>
        </is>
      </c>
      <c r="D19" s="7" t="inlineStr">
        <is>
          <t>bloomery</t>
        </is>
      </c>
      <c r="E19" s="7" t="n">
        <v>1</v>
      </c>
      <c r="F19" s="30" t="inlineStr">
        <is>
          <t>OK: feeds one chain</t>
        </is>
      </c>
      <c r="G19" s="45" t="n"/>
    </row>
    <row r="20" ht="13.5" customHeight="1" s="46">
      <c r="A20" s="7" t="inlineStr">
        <is>
          <t>Iron</t>
        </is>
      </c>
      <c r="B20" s="7" t="inlineStr">
        <is>
          <t>intermediate</t>
        </is>
      </c>
      <c r="C20" s="7" t="inlineStr">
        <is>
          <t>Bloomery</t>
        </is>
      </c>
      <c r="D20" s="7" t="inlineStr">
        <is>
          <t>blacksmith; cooper (hoops)</t>
        </is>
      </c>
      <c r="E20" s="7" t="n">
        <v>2</v>
      </c>
      <c r="F20" s="30" t="inlineStr">
        <is>
          <t>OK</t>
        </is>
      </c>
      <c r="G20" s="45" t="n"/>
    </row>
    <row r="21" ht="13.5" customHeight="1" s="46">
      <c r="A21" s="7" t="inlineStr">
        <is>
          <t>Tools</t>
        </is>
      </c>
      <c r="B21" s="7" t="inlineStr">
        <is>
          <t>material</t>
        </is>
      </c>
      <c r="C21" s="7" t="inlineStr">
        <is>
          <t>Blacksmith (or bought)</t>
        </is>
      </c>
      <c r="D21" s="7" t="inlineStr">
        <is>
          <t>build costs; upkeep</t>
        </is>
      </c>
      <c r="E21" s="7" t="n">
        <v>2</v>
      </c>
      <c r="F21" s="30" t="inlineStr">
        <is>
          <t>OK</t>
        </is>
      </c>
      <c r="G21" s="45" t="n"/>
    </row>
    <row r="22" ht="13.5" customHeight="1" s="46">
      <c r="A22" s="7" t="inlineStr">
        <is>
          <t>Crates</t>
        </is>
      </c>
      <c r="B22" s="7" t="inlineStr">
        <is>
          <t>material</t>
        </is>
      </c>
      <c r="C22" s="7" t="inlineStr">
        <is>
          <t>Cooper</t>
        </is>
      </c>
      <c r="D22" s="7" t="inlineStr">
        <is>
          <t>trade carts; winery</t>
        </is>
      </c>
      <c r="E22" s="7" t="n">
        <v>2</v>
      </c>
      <c r="F22" s="30" t="inlineStr">
        <is>
          <t>OK</t>
        </is>
      </c>
      <c r="G22" s="45" t="n"/>
    </row>
    <row r="23" ht="13.5" customHeight="1" s="46">
      <c r="A23" s="7" t="inlineStr">
        <is>
          <t>Silver</t>
        </is>
      </c>
      <c r="B23" s="7" t="inlineStr">
        <is>
          <t>intermediate</t>
        </is>
      </c>
      <c r="C23" s="7" t="inlineStr">
        <is>
          <t>bought; Deep Veins charter</t>
        </is>
      </c>
      <c r="D23" s="7" t="inlineStr">
        <is>
          <t>jeweller</t>
        </is>
      </c>
      <c r="E23" s="7" t="n">
        <v>1</v>
      </c>
      <c r="F23" s="30" t="inlineStr">
        <is>
          <t>OK: feeds one chain</t>
        </is>
      </c>
      <c r="G23" s="45" t="n"/>
    </row>
    <row r="24" ht="13.5" customHeight="1" s="46">
      <c r="A24" s="10" t="inlineStr">
        <is>
          <t>Food</t>
        </is>
      </c>
      <c r="B24" s="10" t="n"/>
      <c r="C24" s="10" t="n"/>
      <c r="D24" s="10" t="n"/>
      <c r="E24" s="10" t="n"/>
      <c r="F24" s="10" t="n"/>
      <c r="G24" s="10" t="n"/>
    </row>
    <row r="25" ht="13.5" customHeight="1" s="46">
      <c r="A25" s="7" t="inlineStr">
        <is>
          <t>Bread</t>
        </is>
      </c>
      <c r="B25" s="7" t="inlineStr">
        <is>
          <t>food</t>
        </is>
      </c>
      <c r="C25" s="7" t="inlineStr">
        <is>
          <t>Bakery</t>
        </is>
      </c>
      <c r="D25" s="7" t="inlineStr">
        <is>
          <t>eaten</t>
        </is>
      </c>
      <c r="E25" s="7" t="n">
        <v>1</v>
      </c>
      <c r="F25" s="30" t="inlineStr">
        <is>
          <t>OK: food</t>
        </is>
      </c>
      <c r="G25" s="45" t="n"/>
    </row>
    <row r="26" ht="13.5" customHeight="1" s="46">
      <c r="A26" s="7" t="inlineStr">
        <is>
          <t>Vegetables</t>
        </is>
      </c>
      <c r="B26" s="7" t="inlineStr">
        <is>
          <t>food</t>
        </is>
      </c>
      <c r="C26" s="7" t="inlineStr">
        <is>
          <t>Farmstead fields; vegetable patch</t>
        </is>
      </c>
      <c r="D26" s="7" t="inlineStr">
        <is>
          <t>eaten</t>
        </is>
      </c>
      <c r="E26" s="7" t="n">
        <v>1</v>
      </c>
      <c r="F26" s="30" t="inlineStr">
        <is>
          <t>OK: food</t>
        </is>
      </c>
      <c r="G26" s="45" t="n"/>
    </row>
    <row r="27" ht="13.5" customHeight="1" s="46">
      <c r="A27" s="7" t="inlineStr">
        <is>
          <t>Meat</t>
        </is>
      </c>
      <c r="B27" s="7" t="inlineStr">
        <is>
          <t>food</t>
        </is>
      </c>
      <c r="C27" s="7" t="inlineStr">
        <is>
          <t>Hunter; herds</t>
        </is>
      </c>
      <c r="D27" s="7" t="inlineStr">
        <is>
          <t>eaten</t>
        </is>
      </c>
      <c r="E27" s="7" t="n">
        <v>1</v>
      </c>
      <c r="F27" s="30" t="inlineStr">
        <is>
          <t>OK: food</t>
        </is>
      </c>
      <c r="G27" s="45" t="n"/>
    </row>
    <row r="28" ht="13.5" customHeight="1" s="46">
      <c r="A28" s="7" t="inlineStr">
        <is>
          <t>Pork</t>
        </is>
      </c>
      <c r="B28" s="7" t="inlineStr">
        <is>
          <t>food</t>
        </is>
      </c>
      <c r="C28" s="7" t="inlineStr">
        <is>
          <t>Herds</t>
        </is>
      </c>
      <c r="D28" s="7" t="inlineStr">
        <is>
          <t>eaten</t>
        </is>
      </c>
      <c r="E28" s="7" t="n">
        <v>1</v>
      </c>
      <c r="F28" s="30" t="inlineStr">
        <is>
          <t>OK: food</t>
        </is>
      </c>
      <c r="G28" s="45" t="n"/>
    </row>
    <row r="29" ht="13.5" customHeight="1" s="46">
      <c r="A29" s="7" t="inlineStr">
        <is>
          <t>Fish</t>
        </is>
      </c>
      <c r="B29" s="7" t="inlineStr">
        <is>
          <t>food</t>
        </is>
      </c>
      <c r="C29" s="7" t="inlineStr">
        <is>
          <t>Fisher</t>
        </is>
      </c>
      <c r="D29" s="7" t="inlineStr">
        <is>
          <t>eaten</t>
        </is>
      </c>
      <c r="E29" s="7" t="n">
        <v>1</v>
      </c>
      <c r="F29" s="30" t="inlineStr">
        <is>
          <t>OK: food</t>
        </is>
      </c>
      <c r="G29" s="45" t="n"/>
    </row>
    <row r="30" ht="13.5" customHeight="1" s="46">
      <c r="A30" s="7" t="inlineStr">
        <is>
          <t>Eggs</t>
        </is>
      </c>
      <c r="B30" s="7" t="inlineStr">
        <is>
          <t>food</t>
        </is>
      </c>
      <c r="C30" s="7" t="inlineStr">
        <is>
          <t>Hen coop</t>
        </is>
      </c>
      <c r="D30" s="7" t="inlineStr">
        <is>
          <t>eaten</t>
        </is>
      </c>
      <c r="E30" s="7" t="n">
        <v>1</v>
      </c>
      <c r="F30" s="30" t="inlineStr">
        <is>
          <t>OK: food</t>
        </is>
      </c>
      <c r="G30" s="45" t="n"/>
    </row>
    <row r="31" ht="13.5" customHeight="1" s="46">
      <c r="A31" s="7" t="inlineStr">
        <is>
          <t>Berries</t>
        </is>
      </c>
      <c r="B31" s="7" t="inlineStr">
        <is>
          <t>food</t>
        </is>
      </c>
      <c r="C31" s="7" t="inlineStr">
        <is>
          <t>Forager</t>
        </is>
      </c>
      <c r="D31" s="7" t="inlineStr">
        <is>
          <t>eaten; dyer</t>
        </is>
      </c>
      <c r="E31" s="7" t="n">
        <v>2</v>
      </c>
      <c r="F31" s="30" t="inlineStr">
        <is>
          <t>OK: food</t>
        </is>
      </c>
      <c r="G31" s="45" t="n"/>
    </row>
    <row r="32" ht="13.5" customHeight="1" s="46">
      <c r="A32" s="7" t="inlineStr">
        <is>
          <t>Apples</t>
        </is>
      </c>
      <c r="B32" s="7" t="inlineStr">
        <is>
          <t>food</t>
        </is>
      </c>
      <c r="C32" s="7" t="inlineStr">
        <is>
          <t>Orchards</t>
        </is>
      </c>
      <c r="D32" s="7" t="inlineStr">
        <is>
          <t>eaten; cider</t>
        </is>
      </c>
      <c r="E32" s="7" t="n">
        <v>2</v>
      </c>
      <c r="F32" s="30" t="inlineStr">
        <is>
          <t>OK: food</t>
        </is>
      </c>
      <c r="G32" s="45" t="n"/>
    </row>
    <row r="33" ht="13.5" customHeight="1" s="46">
      <c r="A33" s="7" t="inlineStr">
        <is>
          <t>Pears</t>
        </is>
      </c>
      <c r="B33" s="7" t="inlineStr">
        <is>
          <t>food</t>
        </is>
      </c>
      <c r="C33" s="7" t="inlineStr">
        <is>
          <t>Orchards</t>
        </is>
      </c>
      <c r="D33" s="7" t="inlineStr">
        <is>
          <t>eaten</t>
        </is>
      </c>
      <c r="E33" s="7" t="n">
        <v>1</v>
      </c>
      <c r="F33" s="30" t="inlineStr">
        <is>
          <t>OK: food</t>
        </is>
      </c>
      <c r="G33" s="45" t="n"/>
    </row>
    <row r="34" ht="13.5" customHeight="1" s="46">
      <c r="A34" s="7" t="inlineStr">
        <is>
          <t>Plums</t>
        </is>
      </c>
      <c r="B34" s="7" t="inlineStr">
        <is>
          <t>food</t>
        </is>
      </c>
      <c r="C34" s="7" t="inlineStr">
        <is>
          <t>Orchards</t>
        </is>
      </c>
      <c r="D34" s="7" t="inlineStr">
        <is>
          <t>eaten</t>
        </is>
      </c>
      <c r="E34" s="7" t="n">
        <v>1</v>
      </c>
      <c r="F34" s="30" t="inlineStr">
        <is>
          <t>OK: food</t>
        </is>
      </c>
      <c r="G34" s="45" t="n"/>
    </row>
    <row r="35" ht="13.5" customHeight="1" s="46">
      <c r="A35" s="7" t="inlineStr">
        <is>
          <t>Grapes</t>
        </is>
      </c>
      <c r="B35" s="7" t="inlineStr">
        <is>
          <t>food</t>
        </is>
      </c>
      <c r="C35" s="7" t="inlineStr">
        <is>
          <t>Vines (charter)</t>
        </is>
      </c>
      <c r="D35" s="7" t="inlineStr">
        <is>
          <t>eaten; winery</t>
        </is>
      </c>
      <c r="E35" s="7" t="n">
        <v>2</v>
      </c>
      <c r="F35" s="30" t="inlineStr">
        <is>
          <t>OK: food</t>
        </is>
      </c>
      <c r="G35" s="45" t="n"/>
    </row>
    <row r="36" ht="13.5" customHeight="1" s="46">
      <c r="A36" s="7" t="inlineStr">
        <is>
          <t>Honey</t>
        </is>
      </c>
      <c r="B36" s="7" t="inlineStr">
        <is>
          <t>food</t>
        </is>
      </c>
      <c r="C36" s="7" t="inlineStr">
        <is>
          <t>Beekeeper; hives</t>
        </is>
      </c>
      <c r="D36" s="7" t="inlineStr">
        <is>
          <t>eaten; mead</t>
        </is>
      </c>
      <c r="E36" s="7" t="n">
        <v>2</v>
      </c>
      <c r="F36" s="30" t="inlineStr">
        <is>
          <t>OK: food</t>
        </is>
      </c>
      <c r="G36" s="45" t="n"/>
    </row>
    <row r="37" ht="13.5" customHeight="1" s="46">
      <c r="A37" s="7" t="inlineStr">
        <is>
          <t>Milk</t>
        </is>
      </c>
      <c r="B37" s="7" t="inlineStr">
        <is>
          <t>food</t>
        </is>
      </c>
      <c r="C37" s="7" t="inlineStr">
        <is>
          <t>Cattle</t>
        </is>
      </c>
      <c r="D37" s="7" t="inlineStr">
        <is>
          <t>eaten; dairy</t>
        </is>
      </c>
      <c r="E37" s="7" t="n">
        <v>2</v>
      </c>
      <c r="F37" s="30" t="inlineStr">
        <is>
          <t>OK: food</t>
        </is>
      </c>
      <c r="G37" s="45" t="n"/>
    </row>
    <row r="38" ht="13.5" customHeight="1" s="46">
      <c r="A38" s="7" t="inlineStr">
        <is>
          <t>Cheese</t>
        </is>
      </c>
      <c r="B38" s="7" t="inlineStr">
        <is>
          <t>food</t>
        </is>
      </c>
      <c r="C38" s="7" t="inlineStr">
        <is>
          <t>Dairy</t>
        </is>
      </c>
      <c r="D38" s="7" t="inlineStr">
        <is>
          <t>eaten</t>
        </is>
      </c>
      <c r="E38" s="7" t="n">
        <v>1</v>
      </c>
      <c r="F38" s="30" t="inlineStr">
        <is>
          <t>OK: food</t>
        </is>
      </c>
      <c r="G38" s="45" t="n"/>
    </row>
    <row r="39" ht="13.5" customHeight="1" s="46">
      <c r="A39" s="10" t="inlineStr">
        <is>
          <t>Farm and craft goods</t>
        </is>
      </c>
      <c r="B39" s="10" t="n"/>
      <c r="C39" s="10" t="n"/>
      <c r="D39" s="10" t="n"/>
      <c r="E39" s="10" t="n"/>
      <c r="F39" s="10" t="n"/>
      <c r="G39" s="10" t="n"/>
    </row>
    <row r="40" ht="13.5" customHeight="1" s="46">
      <c r="A40" s="7" t="inlineStr">
        <is>
          <t>Grain</t>
        </is>
      </c>
      <c r="B40" s="7" t="inlineStr">
        <is>
          <t>intermediate</t>
        </is>
      </c>
      <c r="C40" s="7" t="inlineStr">
        <is>
          <t>Wheat fields</t>
        </is>
      </c>
      <c r="D40" s="7" t="inlineStr">
        <is>
          <t>windmill, watermill</t>
        </is>
      </c>
      <c r="E40" s="7" t="n">
        <v>1</v>
      </c>
      <c r="F40" s="30" t="inlineStr">
        <is>
          <t>OK: feeds one chain</t>
        </is>
      </c>
      <c r="G40" s="45" t="n"/>
    </row>
    <row r="41" ht="13.5" customHeight="1" s="46">
      <c r="A41" s="7" t="inlineStr">
        <is>
          <t>Barley</t>
        </is>
      </c>
      <c r="B41" s="7" t="inlineStr">
        <is>
          <t>intermediate</t>
        </is>
      </c>
      <c r="C41" s="7" t="inlineStr">
        <is>
          <t>Barley fields</t>
        </is>
      </c>
      <c r="D41" s="7" t="inlineStr">
        <is>
          <t>brewhouse</t>
        </is>
      </c>
      <c r="E41" s="7" t="n">
        <v>1</v>
      </c>
      <c r="F41" s="30" t="inlineStr">
        <is>
          <t>OK: feeds one chain</t>
        </is>
      </c>
      <c r="G41" s="45" t="n"/>
    </row>
    <row r="42" ht="13.5" customHeight="1" s="46">
      <c r="A42" s="7" t="inlineStr">
        <is>
          <t>Flour</t>
        </is>
      </c>
      <c r="B42" s="7" t="inlineStr">
        <is>
          <t>intermediate</t>
        </is>
      </c>
      <c r="C42" s="7" t="inlineStr">
        <is>
          <t>Mills</t>
        </is>
      </c>
      <c r="D42" s="7" t="inlineStr">
        <is>
          <t>bakery</t>
        </is>
      </c>
      <c r="E42" s="7" t="n">
        <v>1</v>
      </c>
      <c r="F42" s="30" t="inlineStr">
        <is>
          <t>OK: feeds one chain</t>
        </is>
      </c>
      <c r="G42" s="45" t="n"/>
    </row>
    <row r="43" ht="13.5" customHeight="1" s="46">
      <c r="A43" s="7" t="inlineStr">
        <is>
          <t>Flax</t>
        </is>
      </c>
      <c r="B43" s="7" t="inlineStr">
        <is>
          <t>intermediate</t>
        </is>
      </c>
      <c r="C43" s="7" t="inlineStr">
        <is>
          <t>Flax fields</t>
        </is>
      </c>
      <c r="D43" s="7" t="inlineStr">
        <is>
          <t>weaver; paper mill</t>
        </is>
      </c>
      <c r="E43" s="7" t="n">
        <v>2</v>
      </c>
      <c r="F43" s="30" t="inlineStr">
        <is>
          <t>OK</t>
        </is>
      </c>
      <c r="G43" s="45" t="n"/>
    </row>
    <row r="44" ht="13.5" customHeight="1" s="46">
      <c r="A44" s="7" t="inlineStr">
        <is>
          <t>Wool</t>
        </is>
      </c>
      <c r="B44" s="7" t="inlineStr">
        <is>
          <t>intermediate</t>
        </is>
      </c>
      <c r="C44" s="7" t="inlineStr">
        <is>
          <t>Sheep</t>
        </is>
      </c>
      <c r="D44" s="7" t="inlineStr">
        <is>
          <t>weaver</t>
        </is>
      </c>
      <c r="E44" s="7" t="n">
        <v>1</v>
      </c>
      <c r="F44" s="30" t="inlineStr">
        <is>
          <t>OK: feeds one chain</t>
        </is>
      </c>
      <c r="G44" s="45" t="n"/>
    </row>
    <row r="45" ht="13.5" customHeight="1" s="46">
      <c r="A45" s="7" t="inlineStr">
        <is>
          <t>Hides</t>
        </is>
      </c>
      <c r="B45" s="7" t="inlineStr">
        <is>
          <t>intermediate</t>
        </is>
      </c>
      <c r="C45" s="7" t="inlineStr">
        <is>
          <t>Hunter; herds</t>
        </is>
      </c>
      <c r="D45" s="7" t="inlineStr">
        <is>
          <t>tanner (leather, parchment)</t>
        </is>
      </c>
      <c r="E45" s="7" t="n">
        <v>2</v>
      </c>
      <c r="F45" s="30" t="inlineStr">
        <is>
          <t>OK</t>
        </is>
      </c>
      <c r="G45" s="45" t="n"/>
    </row>
    <row r="46" ht="13.5" customHeight="1" s="46">
      <c r="A46" s="7" t="inlineStr">
        <is>
          <t>Leather</t>
        </is>
      </c>
      <c r="B46" s="7" t="inlineStr">
        <is>
          <t>intermediate</t>
        </is>
      </c>
      <c r="C46" s="7" t="inlineStr">
        <is>
          <t>Tanner</t>
        </is>
      </c>
      <c r="D46" s="7" t="inlineStr">
        <is>
          <t>tailor (boots); scriptorium (bindings)</t>
        </is>
      </c>
      <c r="E46" s="7" t="n">
        <v>2</v>
      </c>
      <c r="F46" s="30" t="inlineStr">
        <is>
          <t>OK</t>
        </is>
      </c>
      <c r="G46" s="45" t="n"/>
    </row>
    <row r="47" ht="13.5" customHeight="1" s="46">
      <c r="A47" s="7" t="inlineStr">
        <is>
          <t>Cloth</t>
        </is>
      </c>
      <c r="B47" s="7" t="inlineStr">
        <is>
          <t>intermediate</t>
        </is>
      </c>
      <c r="C47" s="7" t="inlineStr">
        <is>
          <t>Weaver</t>
        </is>
      </c>
      <c r="D47" s="7" t="inlineStr">
        <is>
          <t>tailor; embroiderer</t>
        </is>
      </c>
      <c r="E47" s="7" t="n">
        <v>2</v>
      </c>
      <c r="F47" s="30" t="inlineStr">
        <is>
          <t>OK</t>
        </is>
      </c>
      <c r="G47" s="45" t="n"/>
    </row>
    <row r="48" ht="13.5" customHeight="1" s="46">
      <c r="A48" s="7" t="inlineStr">
        <is>
          <t>Woad</t>
        </is>
      </c>
      <c r="B48" s="7" t="inlineStr">
        <is>
          <t>intermediate</t>
        </is>
      </c>
      <c r="C48" s="7" t="inlineStr">
        <is>
          <t>Woad fields</t>
        </is>
      </c>
      <c r="D48" s="7" t="inlineStr">
        <is>
          <t>dyer</t>
        </is>
      </c>
      <c r="E48" s="7" t="n">
        <v>1</v>
      </c>
      <c r="F48" s="30" t="inlineStr">
        <is>
          <t>OK: feeds one chain</t>
        </is>
      </c>
      <c r="G48" s="45" t="n"/>
    </row>
    <row r="49" ht="13.5" customHeight="1" s="46">
      <c r="A49" s="7" t="inlineStr">
        <is>
          <t>Dyes</t>
        </is>
      </c>
      <c r="B49" s="7" t="inlineStr">
        <is>
          <t>intermediate</t>
        </is>
      </c>
      <c r="C49" s="7" t="inlineStr">
        <is>
          <t>Dyer</t>
        </is>
      </c>
      <c r="D49" s="7" t="inlineStr">
        <is>
          <t>embroiderer; glazier; potter</t>
        </is>
      </c>
      <c r="E49" s="7" t="n">
        <v>3</v>
      </c>
      <c r="F49" s="30" t="inlineStr">
        <is>
          <t>OK</t>
        </is>
      </c>
      <c r="G49" s="45" t="n"/>
    </row>
    <row r="50" ht="13.5" customHeight="1" s="46">
      <c r="A50" s="7" t="inlineStr">
        <is>
          <t>Herbs</t>
        </is>
      </c>
      <c r="B50" s="7" t="inlineStr">
        <is>
          <t>intermediate</t>
        </is>
      </c>
      <c r="C50" s="7" t="inlineStr">
        <is>
          <t>Forager</t>
        </is>
      </c>
      <c r="D50" s="7" t="inlineStr">
        <is>
          <t>apothecary; weak medicine for homes</t>
        </is>
      </c>
      <c r="E50" s="7" t="n">
        <v>2</v>
      </c>
      <c r="F50" s="30" t="inlineStr">
        <is>
          <t>OK</t>
        </is>
      </c>
      <c r="G50" s="45" t="n"/>
    </row>
    <row r="51" ht="13.5" customHeight="1" s="46">
      <c r="A51" s="7" t="inlineStr">
        <is>
          <t>Paper</t>
        </is>
      </c>
      <c r="B51" s="7" t="inlineStr">
        <is>
          <t>writing</t>
        </is>
      </c>
      <c r="C51" s="7" t="inlineStr">
        <is>
          <t>Paper Mill</t>
        </is>
      </c>
      <c r="D51" s="7" t="inlineStr">
        <is>
          <t>tax offices and courthouse; scriptorium</t>
        </is>
      </c>
      <c r="E51" s="7" t="n">
        <v>2</v>
      </c>
      <c r="F51" s="30" t="inlineStr">
        <is>
          <t>OK</t>
        </is>
      </c>
      <c r="G51" s="45" t="n"/>
    </row>
    <row r="52" ht="13.5" customHeight="1" s="46">
      <c r="A52" s="7" t="inlineStr">
        <is>
          <t>Parchment</t>
        </is>
      </c>
      <c r="B52" s="7" t="inlineStr">
        <is>
          <t>writing</t>
        </is>
      </c>
      <c r="C52" s="7" t="inlineStr">
        <is>
          <t>Tanner (new recipe)</t>
        </is>
      </c>
      <c r="D52" s="7" t="inlineStr">
        <is>
          <t>tax offices and courthouse; scriptorium</t>
        </is>
      </c>
      <c r="E52" s="7" t="n">
        <v>2</v>
      </c>
      <c r="F52" s="30" t="inlineStr">
        <is>
          <t>OK</t>
        </is>
      </c>
      <c r="G52" s="45" t="n"/>
    </row>
    <row r="53" ht="13.5" customHeight="1" s="46">
      <c r="A53" s="10" t="inlineStr">
        <is>
          <t>Finished goods</t>
        </is>
      </c>
      <c r="B53" s="10" t="n"/>
      <c r="C53" s="10" t="n"/>
      <c r="D53" s="10" t="n"/>
      <c r="E53" s="10" t="n"/>
      <c r="F53" s="10" t="n"/>
      <c r="G53" s="10" t="n"/>
    </row>
    <row r="54" ht="27.75" customHeight="1" s="46">
      <c r="A54" s="7" t="inlineStr">
        <is>
          <t>Clothes</t>
        </is>
      </c>
      <c r="B54" s="7" t="inlineStr">
        <is>
          <t>need</t>
        </is>
      </c>
      <c r="C54" s="7" t="inlineStr">
        <is>
          <t>Tailor</t>
        </is>
      </c>
      <c r="D54" s="7" t="inlineStr">
        <is>
          <t>Townhouse and Merchant's House need; courthouse watch (proposal)</t>
        </is>
      </c>
      <c r="E54" s="7" t="n">
        <v>2</v>
      </c>
      <c r="F54" s="30" t="inlineStr">
        <is>
          <t>OK</t>
        </is>
      </c>
      <c r="G54" s="45" t="n"/>
    </row>
    <row r="55" ht="27.75" customHeight="1" s="46">
      <c r="A55" s="7" t="inlineStr">
        <is>
          <t>Boots</t>
        </is>
      </c>
      <c r="B55" s="7" t="inlineStr">
        <is>
          <t>need</t>
        </is>
      </c>
      <c r="C55" s="7" t="inlineStr">
        <is>
          <t>Tailor</t>
        </is>
      </c>
      <c r="D55" s="7" t="inlineStr">
        <is>
          <t>Townhouse (either garment) and Merchant's House need; courthouse watch (proposal)</t>
        </is>
      </c>
      <c r="E55" s="7" t="n">
        <v>2</v>
      </c>
      <c r="F55" s="30" t="inlineStr">
        <is>
          <t>OK</t>
        </is>
      </c>
      <c r="G55" s="45" t="n"/>
    </row>
    <row r="56" ht="13.5" customHeight="1" s="46">
      <c r="A56" s="7" t="inlineStr">
        <is>
          <t>Medicine</t>
        </is>
      </c>
      <c r="B56" s="7" t="inlineStr">
        <is>
          <t>need</t>
        </is>
      </c>
      <c r="C56" s="7" t="inlineStr">
        <is>
          <t>Apothecary</t>
        </is>
      </c>
      <c r="D56" s="7" t="inlineStr">
        <is>
          <t>home need; sickness events</t>
        </is>
      </c>
      <c r="E56" s="7" t="n">
        <v>2</v>
      </c>
      <c r="F56" s="30" t="inlineStr">
        <is>
          <t>OK</t>
        </is>
      </c>
      <c r="G56" s="45" t="n"/>
    </row>
    <row r="57" ht="13.5" customHeight="1" s="46">
      <c r="A57" s="7" t="inlineStr">
        <is>
          <t>Ale</t>
        </is>
      </c>
      <c r="B57" s="7" t="inlineStr">
        <is>
          <t>drink</t>
        </is>
      </c>
      <c r="C57" s="7" t="inlineStr">
        <is>
          <t>Brewhouse</t>
        </is>
      </c>
      <c r="D57" s="7" t="inlineStr">
        <is>
          <t>alehouse and tavern; harvest feast</t>
        </is>
      </c>
      <c r="E57" s="7" t="n">
        <v>2</v>
      </c>
      <c r="F57" s="30" t="inlineStr">
        <is>
          <t>OK</t>
        </is>
      </c>
      <c r="G57" s="45" t="n"/>
    </row>
    <row r="58" ht="13.5" customHeight="1" s="46">
      <c r="A58" s="7" t="inlineStr">
        <is>
          <t>Cider</t>
        </is>
      </c>
      <c r="B58" s="7" t="inlineStr">
        <is>
          <t>drink</t>
        </is>
      </c>
      <c r="C58" s="7" t="inlineStr">
        <is>
          <t>Brewhouse</t>
        </is>
      </c>
      <c r="D58" s="7" t="inlineStr">
        <is>
          <t>alehouse and tavern; harvest feast</t>
        </is>
      </c>
      <c r="E58" s="7" t="n">
        <v>2</v>
      </c>
      <c r="F58" s="30" t="inlineStr">
        <is>
          <t>OK</t>
        </is>
      </c>
      <c r="G58" s="45" t="n"/>
    </row>
    <row r="59" ht="13.5" customHeight="1" s="46">
      <c r="A59" s="7" t="inlineStr">
        <is>
          <t>Mead</t>
        </is>
      </c>
      <c r="B59" s="7" t="inlineStr">
        <is>
          <t>drink</t>
        </is>
      </c>
      <c r="C59" s="7" t="inlineStr">
        <is>
          <t>Brewhouse</t>
        </is>
      </c>
      <c r="D59" s="7" t="inlineStr">
        <is>
          <t>alehouse and tavern; harvest feast</t>
        </is>
      </c>
      <c r="E59" s="7" t="n">
        <v>2</v>
      </c>
      <c r="F59" s="30" t="inlineStr">
        <is>
          <t>OK</t>
        </is>
      </c>
      <c r="G59" s="45" t="n"/>
    </row>
    <row r="60" ht="13.5" customHeight="1" s="46">
      <c r="A60" s="7" t="inlineStr">
        <is>
          <t>Wine</t>
        </is>
      </c>
      <c r="B60" s="7" t="inlineStr">
        <is>
          <t>luxury / drink</t>
        </is>
      </c>
      <c r="C60" s="7" t="inlineStr">
        <is>
          <t>Winery (charter)</t>
        </is>
      </c>
      <c r="D60" s="7" t="inlineStr">
        <is>
          <t>luxury; tavern drink</t>
        </is>
      </c>
      <c r="E60" s="7" t="n">
        <v>2</v>
      </c>
      <c r="F60" s="30" t="inlineStr">
        <is>
          <t>OK</t>
        </is>
      </c>
      <c r="G60" s="45" t="n"/>
    </row>
    <row r="61" ht="13.5" customHeight="1" s="46">
      <c r="A61" s="7" t="inlineStr">
        <is>
          <t>Fine clothes</t>
        </is>
      </c>
      <c r="B61" s="7" t="inlineStr">
        <is>
          <t>luxury</t>
        </is>
      </c>
      <c r="C61" s="7" t="inlineStr">
        <is>
          <t>Embroiderer</t>
        </is>
      </c>
      <c r="D61" s="7" t="inlineStr">
        <is>
          <t>luxury; Patrician House need</t>
        </is>
      </c>
      <c r="E61" s="7" t="n">
        <v>2</v>
      </c>
      <c r="F61" s="30" t="inlineStr">
        <is>
          <t>OK</t>
        </is>
      </c>
      <c r="G61" s="45" t="n"/>
    </row>
    <row r="62" ht="13.5" customHeight="1" s="46">
      <c r="A62" s="7" t="inlineStr">
        <is>
          <t>Fine pottery</t>
        </is>
      </c>
      <c r="B62" s="7" t="inlineStr">
        <is>
          <t>luxury</t>
        </is>
      </c>
      <c r="C62" s="7" t="inlineStr">
        <is>
          <t>Potter</t>
        </is>
      </c>
      <c r="D62" s="7" t="inlineStr">
        <is>
          <t>luxury</t>
        </is>
      </c>
      <c r="E62" s="7" t="n">
        <v>1</v>
      </c>
      <c r="F62" s="30" t="inlineStr">
        <is>
          <t>OK: luxury (+ export)</t>
        </is>
      </c>
      <c r="G62" s="45" t="n"/>
    </row>
    <row r="63" ht="13.5" customHeight="1" s="46">
      <c r="A63" s="7" t="inlineStr">
        <is>
          <t>Jewellery</t>
        </is>
      </c>
      <c r="B63" s="7" t="inlineStr">
        <is>
          <t>luxury</t>
        </is>
      </c>
      <c r="C63" s="7" t="inlineStr">
        <is>
          <t>Jeweller (charter)</t>
        </is>
      </c>
      <c r="D63" s="7" t="inlineStr">
        <is>
          <t>luxury</t>
        </is>
      </c>
      <c r="E63" s="7" t="n">
        <v>1</v>
      </c>
      <c r="F63" s="30" t="inlineStr">
        <is>
          <t>OK: luxury (+ export)</t>
        </is>
      </c>
      <c r="G63" s="45" t="n"/>
    </row>
    <row r="64" ht="13.5" customHeight="1" s="46">
      <c r="A64" s="7" t="inlineStr">
        <is>
          <t>Books</t>
        </is>
      </c>
      <c r="B64" s="7" t="inlineStr">
        <is>
          <t>learning</t>
        </is>
      </c>
      <c r="C64" s="7" t="inlineStr">
        <is>
          <t>Scriptorium (charter) or bought</t>
        </is>
      </c>
      <c r="D64" s="7" t="inlineStr">
        <is>
          <t>monastery; university (cost and monthly)</t>
        </is>
      </c>
      <c r="E64" s="7" t="n">
        <v>2</v>
      </c>
      <c r="F64" s="30" t="inlineStr">
        <is>
          <t>OK</t>
        </is>
      </c>
      <c r="G64" s="45" t="n"/>
    </row>
    <row r="65" ht="14.25" customHeight="1" s="46">
      <c r="A65" s="2" t="n"/>
      <c r="B65" s="2" t="n"/>
      <c r="C65" s="2" t="n"/>
      <c r="D65" s="2" t="n"/>
      <c r="E65" s="2" t="n"/>
      <c r="F65" s="2" t="n"/>
      <c r="G65" s="2" t="n"/>
    </row>
    <row r="66" ht="14.25" customHeight="1" s="46">
      <c r="A66" s="2" t="n"/>
      <c r="B66" s="2" t="n"/>
      <c r="C66" s="2" t="n"/>
      <c r="D66" s="2" t="n"/>
      <c r="E66" s="2" t="n"/>
      <c r="F66" s="2" t="n"/>
      <c r="G66" s="2" t="n"/>
    </row>
    <row r="67" ht="14.25" customHeight="1" s="46">
      <c r="A67" s="2" t="n"/>
      <c r="B67" s="2" t="n"/>
      <c r="C67" s="2" t="n"/>
      <c r="D67" s="2" t="n"/>
      <c r="E67" s="2" t="n"/>
      <c r="F67" s="2" t="n"/>
      <c r="G67" s="2" t="n"/>
    </row>
    <row r="68" ht="14.25" customHeight="1" s="46">
      <c r="A68" s="2" t="n"/>
      <c r="B68" s="2" t="n"/>
      <c r="C68" s="2" t="n"/>
      <c r="D68" s="2" t="n"/>
      <c r="E68" s="2" t="n"/>
      <c r="F68" s="2" t="n"/>
      <c r="G68" s="2" t="n"/>
    </row>
    <row r="69" ht="14.25" customHeight="1" s="46">
      <c r="A69" s="2" t="n"/>
      <c r="B69" s="2" t="n"/>
      <c r="C69" s="2" t="n"/>
      <c r="D69" s="2" t="n"/>
      <c r="E69" s="2" t="n"/>
      <c r="F69" s="2" t="n"/>
      <c r="G69" s="2" t="n"/>
    </row>
    <row r="70" ht="14.25" customHeight="1" s="46">
      <c r="A70" s="2" t="n"/>
      <c r="B70" s="2" t="n"/>
      <c r="C70" s="2" t="n"/>
      <c r="D70" s="2" t="n"/>
      <c r="E70" s="2" t="n"/>
      <c r="F70" s="2" t="n"/>
      <c r="G70" s="2" t="n"/>
    </row>
    <row r="71" ht="14.25" customHeight="1" s="46">
      <c r="A71" s="2" t="n"/>
      <c r="B71" s="2" t="n"/>
      <c r="C71" s="2" t="n"/>
      <c r="D71" s="2" t="n"/>
      <c r="E71" s="2" t="n"/>
      <c r="F71" s="2" t="n"/>
      <c r="G71" s="2" t="n"/>
    </row>
    <row r="72" ht="14.25" customHeight="1" s="46">
      <c r="A72" s="2" t="n"/>
      <c r="B72" s="2" t="n"/>
      <c r="C72" s="2" t="n"/>
      <c r="D72" s="2" t="n"/>
      <c r="E72" s="2" t="n"/>
      <c r="F72" s="2" t="n"/>
      <c r="G72" s="2" t="n"/>
    </row>
    <row r="73" ht="14.25" customHeight="1" s="46">
      <c r="A73" s="2" t="n"/>
      <c r="B73" s="2" t="n"/>
      <c r="C73" s="2" t="n"/>
      <c r="D73" s="2" t="n"/>
      <c r="E73" s="2" t="n"/>
      <c r="F73" s="2" t="n"/>
      <c r="G73" s="2" t="n"/>
    </row>
    <row r="74" ht="14.25" customHeight="1" s="46">
      <c r="A74" s="2" t="n"/>
      <c r="B74" s="2" t="n"/>
      <c r="C74" s="2" t="n"/>
      <c r="D74" s="2" t="n"/>
      <c r="E74" s="2" t="n"/>
      <c r="F74" s="2" t="n"/>
      <c r="G74" s="2" t="n"/>
    </row>
    <row r="75" ht="14.25" customHeight="1" s="46">
      <c r="A75" s="2" t="n"/>
      <c r="B75" s="2" t="n"/>
      <c r="C75" s="2" t="n"/>
      <c r="D75" s="2" t="n"/>
      <c r="E75" s="2" t="n"/>
      <c r="F75" s="2" t="n"/>
      <c r="G75" s="2" t="n"/>
    </row>
    <row r="76" ht="14.25" customHeight="1" s="46">
      <c r="A76" s="2" t="n"/>
      <c r="B76" s="2" t="n"/>
      <c r="C76" s="2" t="n"/>
      <c r="D76" s="2" t="n"/>
      <c r="E76" s="2" t="n"/>
      <c r="F76" s="2" t="n"/>
      <c r="G76" s="2" t="n"/>
    </row>
    <row r="77" ht="14.25" customHeight="1" s="46">
      <c r="A77" s="2" t="n"/>
      <c r="B77" s="2" t="n"/>
      <c r="C77" s="2" t="n"/>
      <c r="D77" s="2" t="n"/>
      <c r="E77" s="2" t="n"/>
      <c r="F77" s="2" t="n"/>
      <c r="G77" s="2" t="n"/>
    </row>
    <row r="78" ht="14.25" customHeight="1" s="46">
      <c r="A78" s="2" t="n"/>
      <c r="B78" s="2" t="n"/>
      <c r="C78" s="2" t="n"/>
      <c r="D78" s="2" t="n"/>
      <c r="E78" s="2" t="n"/>
      <c r="F78" s="2" t="n"/>
      <c r="G78" s="2" t="n"/>
    </row>
    <row r="79" ht="14.25" customHeight="1" s="46">
      <c r="A79" s="2" t="n"/>
      <c r="B79" s="2" t="n"/>
      <c r="C79" s="2" t="n"/>
      <c r="D79" s="2" t="n"/>
      <c r="E79" s="2" t="n"/>
      <c r="F79" s="2" t="n"/>
      <c r="G79" s="2" t="n"/>
    </row>
    <row r="80" ht="14.25" customHeight="1" s="46">
      <c r="A80" s="2" t="n"/>
      <c r="B80" s="2" t="n"/>
      <c r="C80" s="2" t="n"/>
      <c r="D80" s="2" t="n"/>
      <c r="E80" s="2" t="n"/>
      <c r="F80" s="2" t="n"/>
      <c r="G80" s="2" t="n"/>
    </row>
    <row r="81" ht="14.25" customHeight="1" s="46">
      <c r="A81" s="2" t="n"/>
      <c r="B81" s="2" t="n"/>
      <c r="C81" s="2" t="n"/>
      <c r="D81" s="2" t="n"/>
      <c r="E81" s="2" t="n"/>
      <c r="F81" s="2" t="n"/>
      <c r="G81" s="2" t="n"/>
    </row>
    <row r="82" ht="14.25" customHeight="1" s="46">
      <c r="A82" s="2" t="n"/>
      <c r="B82" s="2" t="n"/>
      <c r="C82" s="2" t="n"/>
      <c r="D82" s="2" t="n"/>
      <c r="E82" s="2" t="n"/>
      <c r="F82" s="2" t="n"/>
      <c r="G82" s="2" t="n"/>
    </row>
    <row r="83" ht="14.25" customHeight="1" s="46">
      <c r="A83" s="2" t="n"/>
      <c r="B83" s="2" t="n"/>
      <c r="C83" s="2" t="n"/>
      <c r="D83" s="2" t="n"/>
      <c r="E83" s="2" t="n"/>
      <c r="F83" s="2" t="n"/>
      <c r="G83" s="2" t="n"/>
    </row>
    <row r="84" ht="14.25" customHeight="1" s="46">
      <c r="A84" s="2" t="n"/>
      <c r="B84" s="2" t="n"/>
      <c r="C84" s="2" t="n"/>
      <c r="D84" s="2" t="n"/>
      <c r="E84" s="2" t="n"/>
      <c r="F84" s="2" t="n"/>
      <c r="G84" s="2" t="n"/>
    </row>
    <row r="85" ht="14.25" customHeight="1" s="46">
      <c r="A85" s="2" t="n"/>
      <c r="B85" s="2" t="n"/>
      <c r="C85" s="2" t="n"/>
      <c r="D85" s="2" t="n"/>
      <c r="E85" s="2" t="n"/>
      <c r="F85" s="2" t="n"/>
      <c r="G85" s="2" t="n"/>
    </row>
    <row r="86" ht="14.25" customHeight="1" s="46">
      <c r="A86" s="2" t="n"/>
      <c r="B86" s="2" t="n"/>
      <c r="C86" s="2" t="n"/>
      <c r="D86" s="2" t="n"/>
      <c r="E86" s="2" t="n"/>
      <c r="F86" s="2" t="n"/>
      <c r="G86" s="2" t="n"/>
    </row>
    <row r="87" ht="14.25" customHeight="1" s="46">
      <c r="A87" s="2" t="n"/>
      <c r="B87" s="2" t="n"/>
      <c r="C87" s="2" t="n"/>
      <c r="D87" s="2" t="n"/>
      <c r="E87" s="2" t="n"/>
      <c r="F87" s="2" t="n"/>
      <c r="G87" s="2" t="n"/>
    </row>
    <row r="88" ht="14.25" customHeight="1" s="46">
      <c r="A88" s="2" t="n"/>
      <c r="B88" s="2" t="n"/>
      <c r="C88" s="2" t="n"/>
      <c r="D88" s="2" t="n"/>
      <c r="E88" s="2" t="n"/>
      <c r="F88" s="2" t="n"/>
      <c r="G88" s="2" t="n"/>
    </row>
    <row r="89" ht="14.25" customHeight="1" s="46">
      <c r="A89" s="2" t="n"/>
      <c r="B89" s="2" t="n"/>
      <c r="C89" s="2" t="n"/>
      <c r="D89" s="2" t="n"/>
      <c r="E89" s="2" t="n"/>
      <c r="F89" s="2" t="n"/>
      <c r="G89" s="2" t="n"/>
    </row>
    <row r="90" ht="14.25" customHeight="1" s="46">
      <c r="A90" s="2" t="n"/>
      <c r="B90" s="2" t="n"/>
      <c r="C90" s="2" t="n"/>
      <c r="D90" s="2" t="n"/>
      <c r="E90" s="2" t="n"/>
      <c r="F90" s="2" t="n"/>
      <c r="G90" s="2" t="n"/>
    </row>
    <row r="91" ht="14.25" customHeight="1" s="46">
      <c r="A91" s="2" t="n"/>
      <c r="B91" s="2" t="n"/>
      <c r="C91" s="2" t="n"/>
      <c r="D91" s="2" t="n"/>
      <c r="E91" s="2" t="n"/>
      <c r="F91" s="2" t="n"/>
      <c r="G91" s="2" t="n"/>
    </row>
    <row r="92" ht="14.25" customHeight="1" s="46">
      <c r="A92" s="2" t="n"/>
      <c r="B92" s="2" t="n"/>
      <c r="C92" s="2" t="n"/>
      <c r="D92" s="2" t="n"/>
      <c r="E92" s="2" t="n"/>
      <c r="F92" s="2" t="n"/>
      <c r="G92" s="2" t="n"/>
    </row>
    <row r="93" ht="14.25" customHeight="1" s="46">
      <c r="A93" s="2" t="n"/>
      <c r="B93" s="2" t="n"/>
      <c r="C93" s="2" t="n"/>
      <c r="D93" s="2" t="n"/>
      <c r="E93" s="2" t="n"/>
      <c r="F93" s="2" t="n"/>
      <c r="G93" s="2" t="n"/>
    </row>
    <row r="94" ht="14.25" customHeight="1" s="46">
      <c r="A94" s="2" t="n"/>
      <c r="B94" s="2" t="n"/>
      <c r="C94" s="2" t="n"/>
      <c r="D94" s="2" t="n"/>
      <c r="E94" s="2" t="n"/>
      <c r="F94" s="2" t="n"/>
      <c r="G94" s="2" t="n"/>
    </row>
    <row r="95" ht="14.25" customHeight="1" s="46">
      <c r="A95" s="2" t="n"/>
      <c r="B95" s="2" t="n"/>
      <c r="C95" s="2" t="n"/>
      <c r="D95" s="2" t="n"/>
      <c r="E95" s="2" t="n"/>
      <c r="F95" s="2" t="n"/>
      <c r="G95" s="2" t="n"/>
    </row>
    <row r="96" ht="14.25" customHeight="1" s="46">
      <c r="A96" s="2" t="n"/>
      <c r="B96" s="2" t="n"/>
      <c r="C96" s="2" t="n"/>
      <c r="D96" s="2" t="n"/>
      <c r="E96" s="2" t="n"/>
      <c r="F96" s="2" t="n"/>
      <c r="G96" s="2" t="n"/>
    </row>
    <row r="97" ht="14.25" customHeight="1" s="46">
      <c r="A97" s="2" t="n"/>
      <c r="B97" s="2" t="n"/>
      <c r="C97" s="2" t="n"/>
      <c r="D97" s="2" t="n"/>
      <c r="E97" s="2" t="n"/>
      <c r="F97" s="2" t="n"/>
      <c r="G97" s="2" t="n"/>
    </row>
    <row r="98" ht="14.25" customHeight="1" s="46">
      <c r="A98" s="2" t="n"/>
      <c r="B98" s="2" t="n"/>
      <c r="C98" s="2" t="n"/>
      <c r="D98" s="2" t="n"/>
      <c r="E98" s="2" t="n"/>
      <c r="F98" s="2" t="n"/>
      <c r="G98" s="2" t="n"/>
    </row>
    <row r="99" ht="14.25" customHeight="1" s="46">
      <c r="A99" s="2" t="n"/>
      <c r="B99" s="2" t="n"/>
      <c r="C99" s="2" t="n"/>
      <c r="D99" s="2" t="n"/>
      <c r="E99" s="2" t="n"/>
      <c r="F99" s="2" t="n"/>
      <c r="G99" s="2" t="n"/>
    </row>
    <row r="100" ht="14.25" customHeight="1" s="46">
      <c r="A100" s="2" t="n"/>
      <c r="B100" s="2" t="n"/>
      <c r="C100" s="2" t="n"/>
      <c r="D100" s="2" t="n"/>
      <c r="E100" s="2" t="n"/>
      <c r="F100" s="2" t="n"/>
      <c r="G100" s="2" t="n"/>
    </row>
    <row r="101" ht="14.25" customHeight="1" s="46">
      <c r="A101" s="2" t="n"/>
      <c r="B101" s="2" t="n"/>
      <c r="C101" s="2" t="n"/>
      <c r="D101" s="2" t="n"/>
      <c r="E101" s="2" t="n"/>
      <c r="F101" s="2" t="n"/>
      <c r="G101" s="2" t="n"/>
    </row>
    <row r="102" ht="14.25" customHeight="1" s="46">
      <c r="A102" s="2" t="n"/>
      <c r="B102" s="2" t="n"/>
      <c r="C102" s="2" t="n"/>
      <c r="D102" s="2" t="n"/>
      <c r="E102" s="2" t="n"/>
      <c r="F102" s="2" t="n"/>
      <c r="G102" s="2" t="n"/>
    </row>
    <row r="103" ht="14.25" customHeight="1" s="46">
      <c r="A103" s="2" t="n"/>
      <c r="B103" s="2" t="n"/>
      <c r="C103" s="2" t="n"/>
      <c r="D103" s="2" t="n"/>
      <c r="E103" s="2" t="n"/>
      <c r="F103" s="2" t="n"/>
      <c r="G103" s="2" t="n"/>
    </row>
    <row r="104" ht="14.25" customHeight="1" s="46">
      <c r="A104" s="2" t="n"/>
      <c r="B104" s="2" t="n"/>
      <c r="C104" s="2" t="n"/>
      <c r="D104" s="2" t="n"/>
      <c r="E104" s="2" t="n"/>
      <c r="F104" s="2" t="n"/>
      <c r="G104" s="2" t="n"/>
    </row>
    <row r="105" ht="14.25" customHeight="1" s="46">
      <c r="A105" s="2" t="n"/>
      <c r="B105" s="2" t="n"/>
      <c r="C105" s="2" t="n"/>
      <c r="D105" s="2" t="n"/>
      <c r="E105" s="2" t="n"/>
      <c r="F105" s="2" t="n"/>
      <c r="G105" s="2" t="n"/>
    </row>
    <row r="106" ht="14.25" customHeight="1" s="46">
      <c r="A106" s="2" t="n"/>
      <c r="B106" s="2" t="n"/>
      <c r="C106" s="2" t="n"/>
      <c r="D106" s="2" t="n"/>
      <c r="E106" s="2" t="n"/>
      <c r="F106" s="2" t="n"/>
      <c r="G106" s="2" t="n"/>
    </row>
    <row r="107" ht="14.25" customHeight="1" s="46">
      <c r="A107" s="2" t="n"/>
      <c r="B107" s="2" t="n"/>
      <c r="C107" s="2" t="n"/>
      <c r="D107" s="2" t="n"/>
      <c r="E107" s="2" t="n"/>
      <c r="F107" s="2" t="n"/>
      <c r="G107" s="2" t="n"/>
    </row>
    <row r="108" ht="14.25" customHeight="1" s="46">
      <c r="A108" s="2" t="n"/>
      <c r="B108" s="2" t="n"/>
      <c r="C108" s="2" t="n"/>
      <c r="D108" s="2" t="n"/>
      <c r="E108" s="2" t="n"/>
      <c r="F108" s="2" t="n"/>
      <c r="G108" s="2" t="n"/>
    </row>
    <row r="109" ht="14.25" customHeight="1" s="46">
      <c r="A109" s="2" t="n"/>
      <c r="B109" s="2" t="n"/>
      <c r="C109" s="2" t="n"/>
      <c r="D109" s="2" t="n"/>
      <c r="E109" s="2" t="n"/>
      <c r="F109" s="2" t="n"/>
      <c r="G109" s="2" t="n"/>
    </row>
    <row r="110" ht="14.25" customHeight="1" s="46">
      <c r="A110" s="2" t="n"/>
      <c r="B110" s="2" t="n"/>
      <c r="C110" s="2" t="n"/>
      <c r="D110" s="2" t="n"/>
      <c r="E110" s="2" t="n"/>
      <c r="F110" s="2" t="n"/>
      <c r="G110" s="2" t="n"/>
    </row>
    <row r="111" ht="14.25" customHeight="1" s="46">
      <c r="A111" s="2" t="n"/>
      <c r="B111" s="2" t="n"/>
      <c r="C111" s="2" t="n"/>
      <c r="D111" s="2" t="n"/>
      <c r="E111" s="2" t="n"/>
      <c r="F111" s="2" t="n"/>
      <c r="G111" s="2" t="n"/>
    </row>
    <row r="112" ht="14.25" customHeight="1" s="46">
      <c r="A112" s="2" t="n"/>
      <c r="B112" s="2" t="n"/>
      <c r="C112" s="2" t="n"/>
      <c r="D112" s="2" t="n"/>
      <c r="E112" s="2" t="n"/>
      <c r="F112" s="2" t="n"/>
      <c r="G112" s="2" t="n"/>
    </row>
    <row r="113" ht="14.25" customHeight="1" s="46">
      <c r="A113" s="2" t="n"/>
      <c r="B113" s="2" t="n"/>
      <c r="C113" s="2" t="n"/>
      <c r="D113" s="2" t="n"/>
      <c r="E113" s="2" t="n"/>
      <c r="F113" s="2" t="n"/>
      <c r="G113" s="2" t="n"/>
    </row>
    <row r="114" ht="14.25" customHeight="1" s="46">
      <c r="A114" s="2" t="n"/>
      <c r="B114" s="2" t="n"/>
      <c r="C114" s="2" t="n"/>
      <c r="D114" s="2" t="n"/>
      <c r="E114" s="2" t="n"/>
      <c r="F114" s="2" t="n"/>
      <c r="G114" s="2" t="n"/>
    </row>
    <row r="115" ht="14.25" customHeight="1" s="46">
      <c r="A115" s="2" t="n"/>
      <c r="B115" s="2" t="n"/>
      <c r="C115" s="2" t="n"/>
      <c r="D115" s="2" t="n"/>
      <c r="E115" s="2" t="n"/>
      <c r="F115" s="2" t="n"/>
      <c r="G115" s="2" t="n"/>
    </row>
    <row r="116" ht="14.25" customHeight="1" s="46">
      <c r="A116" s="2" t="n"/>
      <c r="B116" s="2" t="n"/>
      <c r="C116" s="2" t="n"/>
      <c r="D116" s="2" t="n"/>
      <c r="E116" s="2" t="n"/>
      <c r="F116" s="2" t="n"/>
      <c r="G116" s="2" t="n"/>
    </row>
    <row r="117" ht="14.25" customHeight="1" s="46">
      <c r="A117" s="2" t="n"/>
      <c r="B117" s="2" t="n"/>
      <c r="C117" s="2" t="n"/>
      <c r="D117" s="2" t="n"/>
      <c r="E117" s="2" t="n"/>
      <c r="F117" s="2" t="n"/>
      <c r="G117" s="2" t="n"/>
    </row>
    <row r="118" ht="14.25" customHeight="1" s="46">
      <c r="A118" s="2" t="n"/>
      <c r="B118" s="2" t="n"/>
      <c r="C118" s="2" t="n"/>
      <c r="D118" s="2" t="n"/>
      <c r="E118" s="2" t="n"/>
      <c r="F118" s="2" t="n"/>
      <c r="G118" s="2" t="n"/>
    </row>
    <row r="119" ht="14.25" customHeight="1" s="46">
      <c r="A119" s="2" t="n"/>
      <c r="B119" s="2" t="n"/>
      <c r="C119" s="2" t="n"/>
      <c r="D119" s="2" t="n"/>
      <c r="E119" s="2" t="n"/>
      <c r="F119" s="2" t="n"/>
      <c r="G119" s="2" t="n"/>
    </row>
    <row r="120" ht="14.25" customHeight="1" s="46">
      <c r="A120" s="2" t="n"/>
      <c r="B120" s="2" t="n"/>
      <c r="C120" s="2" t="n"/>
      <c r="D120" s="2" t="n"/>
      <c r="E120" s="2" t="n"/>
      <c r="F120" s="2" t="n"/>
      <c r="G120" s="2" t="n"/>
    </row>
    <row r="121" ht="14.25" customHeight="1" s="46">
      <c r="A121" s="2" t="n"/>
      <c r="B121" s="2" t="n"/>
      <c r="C121" s="2" t="n"/>
      <c r="D121" s="2" t="n"/>
      <c r="E121" s="2" t="n"/>
      <c r="F121" s="2" t="n"/>
      <c r="G121" s="2" t="n"/>
    </row>
    <row r="122" ht="14.25" customHeight="1" s="46">
      <c r="A122" s="2" t="n"/>
      <c r="B122" s="2" t="n"/>
      <c r="C122" s="2" t="n"/>
      <c r="D122" s="2" t="n"/>
      <c r="E122" s="2" t="n"/>
      <c r="F122" s="2" t="n"/>
      <c r="G122" s="2" t="n"/>
    </row>
    <row r="123" ht="14.25" customHeight="1" s="46">
      <c r="A123" s="2" t="n"/>
      <c r="B123" s="2" t="n"/>
      <c r="C123" s="2" t="n"/>
      <c r="D123" s="2" t="n"/>
      <c r="E123" s="2" t="n"/>
      <c r="F123" s="2" t="n"/>
      <c r="G123" s="2" t="n"/>
    </row>
    <row r="124" ht="14.25" customHeight="1" s="46">
      <c r="A124" s="2" t="n"/>
      <c r="B124" s="2" t="n"/>
      <c r="C124" s="2" t="n"/>
      <c r="D124" s="2" t="n"/>
      <c r="E124" s="2" t="n"/>
      <c r="F124" s="2" t="n"/>
      <c r="G124" s="2" t="n"/>
    </row>
    <row r="125" ht="14.25" customHeight="1" s="46">
      <c r="A125" s="2" t="n"/>
      <c r="B125" s="2" t="n"/>
      <c r="C125" s="2" t="n"/>
      <c r="D125" s="2" t="n"/>
      <c r="E125" s="2" t="n"/>
      <c r="F125" s="2" t="n"/>
      <c r="G125" s="2" t="n"/>
    </row>
    <row r="126" ht="14.25" customHeight="1" s="46">
      <c r="A126" s="2" t="n"/>
      <c r="B126" s="2" t="n"/>
      <c r="C126" s="2" t="n"/>
      <c r="D126" s="2" t="n"/>
      <c r="E126" s="2" t="n"/>
      <c r="F126" s="2" t="n"/>
      <c r="G126" s="2" t="n"/>
    </row>
    <row r="127" ht="14.25" customHeight="1" s="46">
      <c r="A127" s="2" t="n"/>
      <c r="B127" s="2" t="n"/>
      <c r="C127" s="2" t="n"/>
      <c r="D127" s="2" t="n"/>
      <c r="E127" s="2" t="n"/>
      <c r="F127" s="2" t="n"/>
      <c r="G127" s="2" t="n"/>
    </row>
    <row r="128" ht="14.25" customHeight="1" s="46">
      <c r="A128" s="2" t="n"/>
      <c r="B128" s="2" t="n"/>
      <c r="C128" s="2" t="n"/>
      <c r="D128" s="2" t="n"/>
      <c r="E128" s="2" t="n"/>
      <c r="F128" s="2" t="n"/>
      <c r="G128" s="2" t="n"/>
    </row>
    <row r="129" ht="14.25" customHeight="1" s="46">
      <c r="A129" s="2" t="n"/>
      <c r="B129" s="2" t="n"/>
      <c r="C129" s="2" t="n"/>
      <c r="D129" s="2" t="n"/>
      <c r="E129" s="2" t="n"/>
      <c r="F129" s="2" t="n"/>
      <c r="G129" s="2" t="n"/>
    </row>
    <row r="130" ht="14.25" customHeight="1" s="46">
      <c r="A130" s="2" t="n"/>
      <c r="B130" s="2" t="n"/>
      <c r="C130" s="2" t="n"/>
      <c r="D130" s="2" t="n"/>
      <c r="E130" s="2" t="n"/>
      <c r="F130" s="2" t="n"/>
      <c r="G130" s="2" t="n"/>
    </row>
    <row r="131" ht="14.25" customHeight="1" s="46">
      <c r="A131" s="2" t="n"/>
      <c r="B131" s="2" t="n"/>
      <c r="C131" s="2" t="n"/>
      <c r="D131" s="2" t="n"/>
      <c r="E131" s="2" t="n"/>
      <c r="F131" s="2" t="n"/>
      <c r="G131" s="2" t="n"/>
    </row>
    <row r="132" ht="14.25" customHeight="1" s="46">
      <c r="A132" s="2" t="n"/>
      <c r="B132" s="2" t="n"/>
      <c r="C132" s="2" t="n"/>
      <c r="D132" s="2" t="n"/>
      <c r="E132" s="2" t="n"/>
      <c r="F132" s="2" t="n"/>
      <c r="G132" s="2" t="n"/>
    </row>
    <row r="133" ht="14.25" customHeight="1" s="46">
      <c r="A133" s="2" t="n"/>
      <c r="B133" s="2" t="n"/>
      <c r="C133" s="2" t="n"/>
      <c r="D133" s="2" t="n"/>
      <c r="E133" s="2" t="n"/>
      <c r="F133" s="2" t="n"/>
      <c r="G133" s="2" t="n"/>
    </row>
    <row r="134" ht="14.25" customHeight="1" s="46">
      <c r="A134" s="2" t="n"/>
      <c r="B134" s="2" t="n"/>
      <c r="C134" s="2" t="n"/>
      <c r="D134" s="2" t="n"/>
      <c r="E134" s="2" t="n"/>
      <c r="F134" s="2" t="n"/>
      <c r="G134" s="2" t="n"/>
    </row>
    <row r="135" ht="14.25" customHeight="1" s="46">
      <c r="A135" s="2" t="n"/>
      <c r="B135" s="2" t="n"/>
      <c r="C135" s="2" t="n"/>
      <c r="D135" s="2" t="n"/>
      <c r="E135" s="2" t="n"/>
      <c r="F135" s="2" t="n"/>
      <c r="G135" s="2" t="n"/>
    </row>
    <row r="136" ht="14.25" customHeight="1" s="46">
      <c r="A136" s="2" t="n"/>
      <c r="B136" s="2" t="n"/>
      <c r="C136" s="2" t="n"/>
      <c r="D136" s="2" t="n"/>
      <c r="E136" s="2" t="n"/>
      <c r="F136" s="2" t="n"/>
      <c r="G136" s="2" t="n"/>
    </row>
    <row r="137" ht="14.25" customHeight="1" s="46">
      <c r="A137" s="2" t="n"/>
      <c r="B137" s="2" t="n"/>
      <c r="C137" s="2" t="n"/>
      <c r="D137" s="2" t="n"/>
      <c r="E137" s="2" t="n"/>
      <c r="F137" s="2" t="n"/>
      <c r="G137" s="2" t="n"/>
    </row>
    <row r="138" ht="14.25" customHeight="1" s="46">
      <c r="A138" s="2" t="n"/>
      <c r="B138" s="2" t="n"/>
      <c r="C138" s="2" t="n"/>
      <c r="D138" s="2" t="n"/>
      <c r="E138" s="2" t="n"/>
      <c r="F138" s="2" t="n"/>
      <c r="G138" s="2" t="n"/>
    </row>
    <row r="139" ht="14.25" customHeight="1" s="46">
      <c r="A139" s="2" t="n"/>
      <c r="B139" s="2" t="n"/>
      <c r="C139" s="2" t="n"/>
      <c r="D139" s="2" t="n"/>
      <c r="E139" s="2" t="n"/>
      <c r="F139" s="2" t="n"/>
      <c r="G139" s="2" t="n"/>
    </row>
    <row r="140" ht="14.25" customHeight="1" s="46">
      <c r="A140" s="2" t="n"/>
      <c r="B140" s="2" t="n"/>
      <c r="C140" s="2" t="n"/>
      <c r="D140" s="2" t="n"/>
      <c r="E140" s="2" t="n"/>
      <c r="F140" s="2" t="n"/>
      <c r="G140" s="2" t="n"/>
    </row>
    <row r="141" ht="14.25" customHeight="1" s="46">
      <c r="A141" s="2" t="n"/>
      <c r="B141" s="2" t="n"/>
      <c r="C141" s="2" t="n"/>
      <c r="D141" s="2" t="n"/>
      <c r="E141" s="2" t="n"/>
      <c r="F141" s="2" t="n"/>
      <c r="G141" s="2" t="n"/>
    </row>
    <row r="142" ht="14.25" customHeight="1" s="46">
      <c r="A142" s="2" t="n"/>
      <c r="B142" s="2" t="n"/>
      <c r="C142" s="2" t="n"/>
      <c r="D142" s="2" t="n"/>
      <c r="E142" s="2" t="n"/>
      <c r="F142" s="2" t="n"/>
      <c r="G142" s="2" t="n"/>
    </row>
    <row r="143" ht="14.25" customHeight="1" s="46">
      <c r="A143" s="2" t="n"/>
      <c r="B143" s="2" t="n"/>
      <c r="C143" s="2" t="n"/>
      <c r="D143" s="2" t="n"/>
      <c r="E143" s="2" t="n"/>
      <c r="F143" s="2" t="n"/>
      <c r="G143" s="2" t="n"/>
    </row>
    <row r="144" ht="14.25" customHeight="1" s="46">
      <c r="A144" s="2" t="n"/>
      <c r="B144" s="2" t="n"/>
      <c r="C144" s="2" t="n"/>
      <c r="D144" s="2" t="n"/>
      <c r="E144" s="2" t="n"/>
      <c r="F144" s="2" t="n"/>
      <c r="G144" s="2" t="n"/>
    </row>
    <row r="145" ht="14.25" customHeight="1" s="46">
      <c r="A145" s="2" t="n"/>
      <c r="B145" s="2" t="n"/>
      <c r="C145" s="2" t="n"/>
      <c r="D145" s="2" t="n"/>
      <c r="E145" s="2" t="n"/>
      <c r="F145" s="2" t="n"/>
      <c r="G145" s="2" t="n"/>
    </row>
    <row r="146" ht="14.25" customHeight="1" s="46">
      <c r="A146" s="2" t="n"/>
      <c r="B146" s="2" t="n"/>
      <c r="C146" s="2" t="n"/>
      <c r="D146" s="2" t="n"/>
      <c r="E146" s="2" t="n"/>
      <c r="F146" s="2" t="n"/>
      <c r="G146" s="2" t="n"/>
    </row>
    <row r="147" ht="14.25" customHeight="1" s="46">
      <c r="A147" s="2" t="n"/>
      <c r="B147" s="2" t="n"/>
      <c r="C147" s="2" t="n"/>
      <c r="D147" s="2" t="n"/>
      <c r="E147" s="2" t="n"/>
      <c r="F147" s="2" t="n"/>
      <c r="G147" s="2" t="n"/>
    </row>
    <row r="148" ht="14.25" customHeight="1" s="46">
      <c r="A148" s="2" t="n"/>
      <c r="B148" s="2" t="n"/>
      <c r="C148" s="2" t="n"/>
      <c r="D148" s="2" t="n"/>
      <c r="E148" s="2" t="n"/>
      <c r="F148" s="2" t="n"/>
      <c r="G148" s="2" t="n"/>
    </row>
    <row r="149" ht="14.25" customHeight="1" s="46">
      <c r="A149" s="2" t="n"/>
      <c r="B149" s="2" t="n"/>
      <c r="C149" s="2" t="n"/>
      <c r="D149" s="2" t="n"/>
      <c r="E149" s="2" t="n"/>
      <c r="F149" s="2" t="n"/>
      <c r="G149" s="2" t="n"/>
    </row>
    <row r="150" ht="14.25" customHeight="1" s="46">
      <c r="A150" s="2" t="n"/>
      <c r="B150" s="2" t="n"/>
      <c r="C150" s="2" t="n"/>
      <c r="D150" s="2" t="n"/>
      <c r="E150" s="2" t="n"/>
      <c r="F150" s="2" t="n"/>
      <c r="G150" s="2" t="n"/>
    </row>
    <row r="151" ht="14.25" customHeight="1" s="46">
      <c r="A151" s="2" t="n"/>
      <c r="B151" s="2" t="n"/>
      <c r="C151" s="2" t="n"/>
      <c r="D151" s="2" t="n"/>
      <c r="E151" s="2" t="n"/>
      <c r="F151" s="2" t="n"/>
      <c r="G151" s="2" t="n"/>
    </row>
    <row r="152" ht="14.25" customHeight="1" s="46">
      <c r="A152" s="2" t="n"/>
      <c r="B152" s="2" t="n"/>
      <c r="C152" s="2" t="n"/>
      <c r="D152" s="2" t="n"/>
      <c r="E152" s="2" t="n"/>
      <c r="F152" s="2" t="n"/>
      <c r="G152" s="2" t="n"/>
    </row>
    <row r="153" ht="14.25" customHeight="1" s="46">
      <c r="A153" s="2" t="n"/>
      <c r="B153" s="2" t="n"/>
      <c r="C153" s="2" t="n"/>
      <c r="D153" s="2" t="n"/>
      <c r="E153" s="2" t="n"/>
      <c r="F153" s="2" t="n"/>
      <c r="G153" s="2" t="n"/>
    </row>
    <row r="154" ht="14.25" customHeight="1" s="46">
      <c r="A154" s="2" t="n"/>
      <c r="B154" s="2" t="n"/>
      <c r="C154" s="2" t="n"/>
      <c r="D154" s="2" t="n"/>
      <c r="E154" s="2" t="n"/>
      <c r="F154" s="2" t="n"/>
      <c r="G154" s="2" t="n"/>
    </row>
    <row r="155" ht="14.25" customHeight="1" s="46">
      <c r="A155" s="2" t="n"/>
      <c r="B155" s="2" t="n"/>
      <c r="C155" s="2" t="n"/>
      <c r="D155" s="2" t="n"/>
      <c r="E155" s="2" t="n"/>
      <c r="F155" s="2" t="n"/>
      <c r="G155" s="2" t="n"/>
    </row>
    <row r="156" ht="14.25" customHeight="1" s="46">
      <c r="A156" s="2" t="n"/>
      <c r="B156" s="2" t="n"/>
      <c r="C156" s="2" t="n"/>
      <c r="D156" s="2" t="n"/>
      <c r="E156" s="2" t="n"/>
      <c r="F156" s="2" t="n"/>
      <c r="G156" s="2" t="n"/>
    </row>
    <row r="157" ht="14.25" customHeight="1" s="46">
      <c r="A157" s="2" t="n"/>
      <c r="B157" s="2" t="n"/>
      <c r="C157" s="2" t="n"/>
      <c r="D157" s="2" t="n"/>
      <c r="E157" s="2" t="n"/>
      <c r="F157" s="2" t="n"/>
      <c r="G157" s="2" t="n"/>
    </row>
    <row r="158" ht="14.25" customHeight="1" s="46">
      <c r="A158" s="2" t="n"/>
      <c r="B158" s="2" t="n"/>
      <c r="C158" s="2" t="n"/>
      <c r="D158" s="2" t="n"/>
      <c r="E158" s="2" t="n"/>
      <c r="F158" s="2" t="n"/>
      <c r="G158" s="2" t="n"/>
    </row>
    <row r="159" ht="14.25" customHeight="1" s="46">
      <c r="A159" s="2" t="n"/>
      <c r="B159" s="2" t="n"/>
      <c r="C159" s="2" t="n"/>
      <c r="D159" s="2" t="n"/>
      <c r="E159" s="2" t="n"/>
      <c r="F159" s="2" t="n"/>
      <c r="G159" s="2" t="n"/>
    </row>
    <row r="160" ht="14.25" customHeight="1" s="46">
      <c r="A160" s="2" t="n"/>
      <c r="B160" s="2" t="n"/>
      <c r="C160" s="2" t="n"/>
      <c r="D160" s="2" t="n"/>
      <c r="E160" s="2" t="n"/>
      <c r="F160" s="2" t="n"/>
      <c r="G160" s="2" t="n"/>
    </row>
    <row r="161" ht="14.25" customHeight="1" s="46">
      <c r="A161" s="2" t="n"/>
      <c r="B161" s="2" t="n"/>
      <c r="C161" s="2" t="n"/>
      <c r="D161" s="2" t="n"/>
      <c r="E161" s="2" t="n"/>
      <c r="F161" s="2" t="n"/>
      <c r="G161" s="2" t="n"/>
    </row>
    <row r="162" ht="14.25" customHeight="1" s="46">
      <c r="A162" s="2" t="n"/>
      <c r="B162" s="2" t="n"/>
      <c r="C162" s="2" t="n"/>
      <c r="D162" s="2" t="n"/>
      <c r="E162" s="2" t="n"/>
      <c r="F162" s="2" t="n"/>
      <c r="G162" s="2" t="n"/>
    </row>
    <row r="163" ht="14.25" customHeight="1" s="46">
      <c r="A163" s="2" t="n"/>
      <c r="B163" s="2" t="n"/>
      <c r="C163" s="2" t="n"/>
      <c r="D163" s="2" t="n"/>
      <c r="E163" s="2" t="n"/>
      <c r="F163" s="2" t="n"/>
      <c r="G163" s="2" t="n"/>
    </row>
    <row r="164" ht="14.25" customHeight="1" s="46">
      <c r="A164" s="2" t="n"/>
      <c r="B164" s="2" t="n"/>
      <c r="C164" s="2" t="n"/>
      <c r="D164" s="2" t="n"/>
      <c r="E164" s="2" t="n"/>
      <c r="F164" s="2" t="n"/>
      <c r="G164" s="2" t="n"/>
    </row>
    <row r="165" ht="14.25" customHeight="1" s="46">
      <c r="A165" s="2" t="n"/>
      <c r="B165" s="2" t="n"/>
      <c r="C165" s="2" t="n"/>
      <c r="D165" s="2" t="n"/>
      <c r="E165" s="2" t="n"/>
      <c r="F165" s="2" t="n"/>
      <c r="G165" s="2" t="n"/>
    </row>
    <row r="166" ht="14.25" customHeight="1" s="46">
      <c r="A166" s="2" t="n"/>
      <c r="B166" s="2" t="n"/>
      <c r="C166" s="2" t="n"/>
      <c r="D166" s="2" t="n"/>
      <c r="E166" s="2" t="n"/>
      <c r="F166" s="2" t="n"/>
      <c r="G166" s="2" t="n"/>
    </row>
    <row r="167" ht="14.25" customHeight="1" s="46">
      <c r="A167" s="2" t="n"/>
      <c r="B167" s="2" t="n"/>
      <c r="C167" s="2" t="n"/>
      <c r="D167" s="2" t="n"/>
      <c r="E167" s="2" t="n"/>
      <c r="F167" s="2" t="n"/>
      <c r="G167" s="2" t="n"/>
    </row>
    <row r="168" ht="14.25" customHeight="1" s="46">
      <c r="A168" s="2" t="n"/>
      <c r="B168" s="2" t="n"/>
      <c r="C168" s="2" t="n"/>
      <c r="D168" s="2" t="n"/>
      <c r="E168" s="2" t="n"/>
      <c r="F168" s="2" t="n"/>
      <c r="G168" s="2" t="n"/>
    </row>
    <row r="169" ht="14.25" customHeight="1" s="46">
      <c r="A169" s="2" t="n"/>
      <c r="B169" s="2" t="n"/>
      <c r="C169" s="2" t="n"/>
      <c r="D169" s="2" t="n"/>
      <c r="E169" s="2" t="n"/>
      <c r="F169" s="2" t="n"/>
      <c r="G169" s="2" t="n"/>
    </row>
    <row r="170" ht="14.25" customHeight="1" s="46">
      <c r="A170" s="2" t="n"/>
      <c r="B170" s="2" t="n"/>
      <c r="C170" s="2" t="n"/>
      <c r="D170" s="2" t="n"/>
      <c r="E170" s="2" t="n"/>
      <c r="F170" s="2" t="n"/>
      <c r="G170" s="2" t="n"/>
    </row>
    <row r="171" ht="14.25" customHeight="1" s="46">
      <c r="A171" s="2" t="n"/>
      <c r="B171" s="2" t="n"/>
      <c r="C171" s="2" t="n"/>
      <c r="D171" s="2" t="n"/>
      <c r="E171" s="2" t="n"/>
      <c r="F171" s="2" t="n"/>
      <c r="G171" s="2" t="n"/>
    </row>
    <row r="172" ht="14.25" customHeight="1" s="46">
      <c r="A172" s="2" t="n"/>
      <c r="B172" s="2" t="n"/>
      <c r="C172" s="2" t="n"/>
      <c r="D172" s="2" t="n"/>
      <c r="E172" s="2" t="n"/>
      <c r="F172" s="2" t="n"/>
      <c r="G172" s="2" t="n"/>
    </row>
    <row r="173" ht="14.25" customHeight="1" s="46">
      <c r="A173" s="2" t="n"/>
      <c r="B173" s="2" t="n"/>
      <c r="C173" s="2" t="n"/>
      <c r="D173" s="2" t="n"/>
      <c r="E173" s="2" t="n"/>
      <c r="F173" s="2" t="n"/>
      <c r="G173" s="2" t="n"/>
    </row>
    <row r="174" ht="14.25" customHeight="1" s="46">
      <c r="A174" s="2" t="n"/>
      <c r="B174" s="2" t="n"/>
      <c r="C174" s="2" t="n"/>
      <c r="D174" s="2" t="n"/>
      <c r="E174" s="2" t="n"/>
      <c r="F174" s="2" t="n"/>
      <c r="G174" s="2" t="n"/>
    </row>
    <row r="175" ht="14.25" customHeight="1" s="46">
      <c r="A175" s="2" t="n"/>
      <c r="B175" s="2" t="n"/>
      <c r="C175" s="2" t="n"/>
      <c r="D175" s="2" t="n"/>
      <c r="E175" s="2" t="n"/>
      <c r="F175" s="2" t="n"/>
      <c r="G175" s="2" t="n"/>
    </row>
    <row r="176" ht="14.25" customHeight="1" s="46">
      <c r="A176" s="2" t="n"/>
      <c r="B176" s="2" t="n"/>
      <c r="C176" s="2" t="n"/>
      <c r="D176" s="2" t="n"/>
      <c r="E176" s="2" t="n"/>
      <c r="F176" s="2" t="n"/>
      <c r="G176" s="2" t="n"/>
    </row>
    <row r="177" ht="14.25" customHeight="1" s="46">
      <c r="A177" s="2" t="n"/>
      <c r="B177" s="2" t="n"/>
      <c r="C177" s="2" t="n"/>
      <c r="D177" s="2" t="n"/>
      <c r="E177" s="2" t="n"/>
      <c r="F177" s="2" t="n"/>
      <c r="G177" s="2" t="n"/>
    </row>
    <row r="178" ht="14.25" customHeight="1" s="46">
      <c r="A178" s="2" t="n"/>
      <c r="B178" s="2" t="n"/>
      <c r="C178" s="2" t="n"/>
      <c r="D178" s="2" t="n"/>
      <c r="E178" s="2" t="n"/>
      <c r="F178" s="2" t="n"/>
      <c r="G178" s="2" t="n"/>
    </row>
    <row r="179" ht="14.25" customHeight="1" s="46">
      <c r="A179" s="2" t="n"/>
      <c r="B179" s="2" t="n"/>
      <c r="C179" s="2" t="n"/>
      <c r="D179" s="2" t="n"/>
      <c r="E179" s="2" t="n"/>
      <c r="F179" s="2" t="n"/>
      <c r="G179" s="2" t="n"/>
    </row>
    <row r="180" ht="14.25" customHeight="1" s="46">
      <c r="A180" s="2" t="n"/>
      <c r="B180" s="2" t="n"/>
      <c r="C180" s="2" t="n"/>
      <c r="D180" s="2" t="n"/>
      <c r="E180" s="2" t="n"/>
      <c r="F180" s="2" t="n"/>
      <c r="G180" s="2" t="n"/>
    </row>
    <row r="181" ht="14.25" customHeight="1" s="46">
      <c r="A181" s="2" t="n"/>
      <c r="B181" s="2" t="n"/>
      <c r="C181" s="2" t="n"/>
      <c r="D181" s="2" t="n"/>
      <c r="E181" s="2" t="n"/>
      <c r="F181" s="2" t="n"/>
      <c r="G181" s="2" t="n"/>
    </row>
    <row r="182" ht="14.25" customHeight="1" s="46">
      <c r="A182" s="2" t="n"/>
      <c r="B182" s="2" t="n"/>
      <c r="C182" s="2" t="n"/>
      <c r="D182" s="2" t="n"/>
      <c r="E182" s="2" t="n"/>
      <c r="F182" s="2" t="n"/>
      <c r="G182" s="2" t="n"/>
    </row>
    <row r="183" ht="14.25" customHeight="1" s="46">
      <c r="A183" s="2" t="n"/>
      <c r="B183" s="2" t="n"/>
      <c r="C183" s="2" t="n"/>
      <c r="D183" s="2" t="n"/>
      <c r="E183" s="2" t="n"/>
      <c r="F183" s="2" t="n"/>
      <c r="G183" s="2" t="n"/>
    </row>
    <row r="184" ht="14.25" customHeight="1" s="46">
      <c r="A184" s="2" t="n"/>
      <c r="B184" s="2" t="n"/>
      <c r="C184" s="2" t="n"/>
      <c r="D184" s="2" t="n"/>
      <c r="E184" s="2" t="n"/>
      <c r="F184" s="2" t="n"/>
      <c r="G184" s="2" t="n"/>
    </row>
    <row r="185" ht="14.25" customHeight="1" s="46">
      <c r="A185" s="2" t="n"/>
      <c r="B185" s="2" t="n"/>
      <c r="C185" s="2" t="n"/>
      <c r="D185" s="2" t="n"/>
      <c r="E185" s="2" t="n"/>
      <c r="F185" s="2" t="n"/>
      <c r="G185" s="2" t="n"/>
    </row>
    <row r="186" ht="14.25" customHeight="1" s="46">
      <c r="A186" s="2" t="n"/>
      <c r="B186" s="2" t="n"/>
      <c r="C186" s="2" t="n"/>
      <c r="D186" s="2" t="n"/>
      <c r="E186" s="2" t="n"/>
      <c r="F186" s="2" t="n"/>
      <c r="G186" s="2" t="n"/>
    </row>
    <row r="187" ht="14.25" customHeight="1" s="46">
      <c r="A187" s="2" t="n"/>
      <c r="B187" s="2" t="n"/>
      <c r="C187" s="2" t="n"/>
      <c r="D187" s="2" t="n"/>
      <c r="E187" s="2" t="n"/>
      <c r="F187" s="2" t="n"/>
      <c r="G187" s="2" t="n"/>
    </row>
    <row r="188" ht="14.25" customHeight="1" s="46">
      <c r="A188" s="2" t="n"/>
      <c r="B188" s="2" t="n"/>
      <c r="C188" s="2" t="n"/>
      <c r="D188" s="2" t="n"/>
      <c r="E188" s="2" t="n"/>
      <c r="F188" s="2" t="n"/>
      <c r="G188" s="2" t="n"/>
    </row>
    <row r="189" ht="14.25" customHeight="1" s="46">
      <c r="A189" s="2" t="n"/>
      <c r="B189" s="2" t="n"/>
      <c r="C189" s="2" t="n"/>
      <c r="D189" s="2" t="n"/>
      <c r="E189" s="2" t="n"/>
      <c r="F189" s="2" t="n"/>
      <c r="G189" s="2" t="n"/>
    </row>
    <row r="190" ht="14.25" customHeight="1" s="46">
      <c r="A190" s="2" t="n"/>
      <c r="B190" s="2" t="n"/>
      <c r="C190" s="2" t="n"/>
      <c r="D190" s="2" t="n"/>
      <c r="E190" s="2" t="n"/>
      <c r="F190" s="2" t="n"/>
      <c r="G190" s="2" t="n"/>
    </row>
    <row r="191" ht="14.25" customHeight="1" s="46">
      <c r="A191" s="2" t="n"/>
      <c r="B191" s="2" t="n"/>
      <c r="C191" s="2" t="n"/>
      <c r="D191" s="2" t="n"/>
      <c r="E191" s="2" t="n"/>
      <c r="F191" s="2" t="n"/>
      <c r="G191" s="2" t="n"/>
    </row>
    <row r="192" ht="14.25" customHeight="1" s="46">
      <c r="A192" s="2" t="n"/>
      <c r="B192" s="2" t="n"/>
      <c r="C192" s="2" t="n"/>
      <c r="D192" s="2" t="n"/>
      <c r="E192" s="2" t="n"/>
      <c r="F192" s="2" t="n"/>
      <c r="G192" s="2" t="n"/>
    </row>
    <row r="193" ht="14.25" customHeight="1" s="46">
      <c r="A193" s="2" t="n"/>
      <c r="B193" s="2" t="n"/>
      <c r="C193" s="2" t="n"/>
      <c r="D193" s="2" t="n"/>
      <c r="E193" s="2" t="n"/>
      <c r="F193" s="2" t="n"/>
      <c r="G193" s="2" t="n"/>
    </row>
    <row r="194" ht="14.25" customHeight="1" s="46">
      <c r="A194" s="2" t="n"/>
      <c r="B194" s="2" t="n"/>
      <c r="C194" s="2" t="n"/>
      <c r="D194" s="2" t="n"/>
      <c r="E194" s="2" t="n"/>
      <c r="F194" s="2" t="n"/>
      <c r="G194" s="2" t="n"/>
    </row>
    <row r="195" ht="14.25" customHeight="1" s="46">
      <c r="A195" s="2" t="n"/>
      <c r="B195" s="2" t="n"/>
      <c r="C195" s="2" t="n"/>
      <c r="D195" s="2" t="n"/>
      <c r="E195" s="2" t="n"/>
      <c r="F195" s="2" t="n"/>
      <c r="G195" s="2" t="n"/>
    </row>
    <row r="196" ht="14.25" customHeight="1" s="46">
      <c r="A196" s="2" t="n"/>
      <c r="B196" s="2" t="n"/>
      <c r="C196" s="2" t="n"/>
      <c r="D196" s="2" t="n"/>
      <c r="E196" s="2" t="n"/>
      <c r="F196" s="2" t="n"/>
      <c r="G196" s="2" t="n"/>
    </row>
    <row r="197" ht="14.25" customHeight="1" s="46">
      <c r="A197" s="2" t="n"/>
      <c r="B197" s="2" t="n"/>
      <c r="C197" s="2" t="n"/>
      <c r="D197" s="2" t="n"/>
      <c r="E197" s="2" t="n"/>
      <c r="F197" s="2" t="n"/>
      <c r="G197" s="2" t="n"/>
    </row>
    <row r="198" ht="14.25" customHeight="1" s="46">
      <c r="A198" s="2" t="n"/>
      <c r="B198" s="2" t="n"/>
      <c r="C198" s="2" t="n"/>
      <c r="D198" s="2" t="n"/>
      <c r="E198" s="2" t="n"/>
      <c r="F198" s="2" t="n"/>
      <c r="G198" s="2" t="n"/>
    </row>
    <row r="199" ht="14.25" customHeight="1" s="46">
      <c r="A199" s="2" t="n"/>
      <c r="B199" s="2" t="n"/>
      <c r="C199" s="2" t="n"/>
      <c r="D199" s="2" t="n"/>
      <c r="E199" s="2" t="n"/>
      <c r="F199" s="2" t="n"/>
      <c r="G199" s="2" t="n"/>
    </row>
    <row r="200" ht="14.25" customHeight="1" s="46">
      <c r="A200" s="2" t="n"/>
      <c r="B200" s="2" t="n"/>
      <c r="C200" s="2" t="n"/>
      <c r="D200" s="2" t="n"/>
      <c r="E200" s="2" t="n"/>
      <c r="F200" s="2" t="n"/>
      <c r="G200" s="2" t="n"/>
    </row>
    <row r="201" ht="14.25" customHeight="1" s="46">
      <c r="A201" s="2" t="n"/>
      <c r="B201" s="2" t="n"/>
      <c r="C201" s="2" t="n"/>
      <c r="D201" s="2" t="n"/>
      <c r="E201" s="2" t="n"/>
      <c r="F201" s="2" t="n"/>
      <c r="G201" s="2" t="n"/>
    </row>
    <row r="202" ht="14.25" customHeight="1" s="46">
      <c r="A202" s="2" t="n"/>
      <c r="B202" s="2" t="n"/>
      <c r="C202" s="2" t="n"/>
      <c r="D202" s="2" t="n"/>
      <c r="E202" s="2" t="n"/>
      <c r="F202" s="2" t="n"/>
      <c r="G202" s="2" t="n"/>
    </row>
    <row r="203" ht="14.25" customHeight="1" s="46">
      <c r="A203" s="2" t="n"/>
      <c r="B203" s="2" t="n"/>
      <c r="C203" s="2" t="n"/>
      <c r="D203" s="2" t="n"/>
      <c r="E203" s="2" t="n"/>
      <c r="F203" s="2" t="n"/>
      <c r="G203" s="2" t="n"/>
    </row>
    <row r="204" ht="14.25" customHeight="1" s="46">
      <c r="A204" s="2" t="n"/>
      <c r="B204" s="2" t="n"/>
      <c r="C204" s="2" t="n"/>
      <c r="D204" s="2" t="n"/>
      <c r="E204" s="2" t="n"/>
      <c r="F204" s="2" t="n"/>
      <c r="G204" s="2" t="n"/>
    </row>
    <row r="205" ht="14.25" customHeight="1" s="46">
      <c r="A205" s="2" t="n"/>
      <c r="B205" s="2" t="n"/>
      <c r="C205" s="2" t="n"/>
      <c r="D205" s="2" t="n"/>
      <c r="E205" s="2" t="n"/>
      <c r="F205" s="2" t="n"/>
      <c r="G205" s="2" t="n"/>
    </row>
    <row r="206" ht="14.25" customHeight="1" s="46">
      <c r="A206" s="2" t="n"/>
      <c r="B206" s="2" t="n"/>
      <c r="C206" s="2" t="n"/>
      <c r="D206" s="2" t="n"/>
      <c r="E206" s="2" t="n"/>
      <c r="F206" s="2" t="n"/>
      <c r="G206" s="2" t="n"/>
    </row>
    <row r="207" ht="14.25" customHeight="1" s="46">
      <c r="A207" s="2" t="n"/>
      <c r="B207" s="2" t="n"/>
      <c r="C207" s="2" t="n"/>
      <c r="D207" s="2" t="n"/>
      <c r="E207" s="2" t="n"/>
      <c r="F207" s="2" t="n"/>
      <c r="G207" s="2" t="n"/>
    </row>
    <row r="208" ht="14.25" customHeight="1" s="46">
      <c r="A208" s="2" t="n"/>
      <c r="B208" s="2" t="n"/>
      <c r="C208" s="2" t="n"/>
      <c r="D208" s="2" t="n"/>
      <c r="E208" s="2" t="n"/>
      <c r="F208" s="2" t="n"/>
      <c r="G208" s="2" t="n"/>
    </row>
    <row r="209" ht="14.25" customHeight="1" s="46">
      <c r="A209" s="2" t="n"/>
      <c r="B209" s="2" t="n"/>
      <c r="C209" s="2" t="n"/>
      <c r="D209" s="2" t="n"/>
      <c r="E209" s="2" t="n"/>
      <c r="F209" s="2" t="n"/>
      <c r="G209" s="2" t="n"/>
    </row>
    <row r="210" ht="14.25" customHeight="1" s="46">
      <c r="A210" s="2" t="n"/>
      <c r="B210" s="2" t="n"/>
      <c r="C210" s="2" t="n"/>
      <c r="D210" s="2" t="n"/>
      <c r="E210" s="2" t="n"/>
      <c r="F210" s="2" t="n"/>
      <c r="G210" s="2" t="n"/>
    </row>
    <row r="211" ht="14.25" customHeight="1" s="46">
      <c r="A211" s="2" t="n"/>
      <c r="B211" s="2" t="n"/>
      <c r="C211" s="2" t="n"/>
      <c r="D211" s="2" t="n"/>
      <c r="E211" s="2" t="n"/>
      <c r="F211" s="2" t="n"/>
      <c r="G211" s="2" t="n"/>
    </row>
    <row r="212" ht="14.25" customHeight="1" s="46">
      <c r="A212" s="2" t="n"/>
      <c r="B212" s="2" t="n"/>
      <c r="C212" s="2" t="n"/>
      <c r="D212" s="2" t="n"/>
      <c r="E212" s="2" t="n"/>
      <c r="F212" s="2" t="n"/>
      <c r="G212" s="2" t="n"/>
    </row>
    <row r="213" ht="14.25" customHeight="1" s="46">
      <c r="A213" s="2" t="n"/>
      <c r="B213" s="2" t="n"/>
      <c r="C213" s="2" t="n"/>
      <c r="D213" s="2" t="n"/>
      <c r="E213" s="2" t="n"/>
      <c r="F213" s="2" t="n"/>
      <c r="G213" s="2" t="n"/>
    </row>
    <row r="214" ht="14.25" customHeight="1" s="46">
      <c r="A214" s="2" t="n"/>
      <c r="B214" s="2" t="n"/>
      <c r="C214" s="2" t="n"/>
      <c r="D214" s="2" t="n"/>
      <c r="E214" s="2" t="n"/>
      <c r="F214" s="2" t="n"/>
      <c r="G214" s="2" t="n"/>
    </row>
    <row r="215" ht="14.25" customHeight="1" s="46">
      <c r="A215" s="2" t="n"/>
      <c r="B215" s="2" t="n"/>
      <c r="C215" s="2" t="n"/>
      <c r="D215" s="2" t="n"/>
      <c r="E215" s="2" t="n"/>
      <c r="F215" s="2" t="n"/>
      <c r="G215" s="2" t="n"/>
    </row>
    <row r="216" ht="14.25" customHeight="1" s="46">
      <c r="A216" s="2" t="n"/>
      <c r="B216" s="2" t="n"/>
      <c r="C216" s="2" t="n"/>
      <c r="D216" s="2" t="n"/>
      <c r="E216" s="2" t="n"/>
      <c r="F216" s="2" t="n"/>
      <c r="G216" s="2" t="n"/>
    </row>
    <row r="217" ht="14.25" customHeight="1" s="46">
      <c r="A217" s="2" t="n"/>
      <c r="B217" s="2" t="n"/>
      <c r="C217" s="2" t="n"/>
      <c r="D217" s="2" t="n"/>
      <c r="E217" s="2" t="n"/>
      <c r="F217" s="2" t="n"/>
      <c r="G217" s="2" t="n"/>
    </row>
    <row r="218" ht="14.25" customHeight="1" s="46">
      <c r="A218" s="2" t="n"/>
      <c r="B218" s="2" t="n"/>
      <c r="C218" s="2" t="n"/>
      <c r="D218" s="2" t="n"/>
      <c r="E218" s="2" t="n"/>
      <c r="F218" s="2" t="n"/>
      <c r="G218" s="2" t="n"/>
    </row>
    <row r="219" ht="14.25" customHeight="1" s="46">
      <c r="A219" s="2" t="n"/>
      <c r="B219" s="2" t="n"/>
      <c r="C219" s="2" t="n"/>
      <c r="D219" s="2" t="n"/>
      <c r="E219" s="2" t="n"/>
      <c r="F219" s="2" t="n"/>
      <c r="G219" s="2" t="n"/>
    </row>
    <row r="220" ht="14.25" customHeight="1" s="46">
      <c r="A220" s="2" t="n"/>
      <c r="B220" s="2" t="n"/>
      <c r="C220" s="2" t="n"/>
      <c r="D220" s="2" t="n"/>
      <c r="E220" s="2" t="n"/>
      <c r="F220" s="2" t="n"/>
      <c r="G220" s="2" t="n"/>
    </row>
    <row r="221" ht="14.25" customHeight="1" s="46">
      <c r="A221" s="2" t="n"/>
      <c r="B221" s="2" t="n"/>
      <c r="C221" s="2" t="n"/>
      <c r="D221" s="2" t="n"/>
      <c r="E221" s="2" t="n"/>
      <c r="F221" s="2" t="n"/>
      <c r="G221" s="2" t="n"/>
    </row>
    <row r="222" ht="14.25" customHeight="1" s="46">
      <c r="A222" s="2" t="n"/>
      <c r="B222" s="2" t="n"/>
      <c r="C222" s="2" t="n"/>
      <c r="D222" s="2" t="n"/>
      <c r="E222" s="2" t="n"/>
      <c r="F222" s="2" t="n"/>
      <c r="G222" s="2" t="n"/>
    </row>
    <row r="223" ht="14.25" customHeight="1" s="46">
      <c r="A223" s="2" t="n"/>
      <c r="B223" s="2" t="n"/>
      <c r="C223" s="2" t="n"/>
      <c r="D223" s="2" t="n"/>
      <c r="E223" s="2" t="n"/>
      <c r="F223" s="2" t="n"/>
      <c r="G223" s="2" t="n"/>
    </row>
    <row r="224" ht="14.25" customHeight="1" s="46">
      <c r="A224" s="2" t="n"/>
      <c r="B224" s="2" t="n"/>
      <c r="C224" s="2" t="n"/>
      <c r="D224" s="2" t="n"/>
      <c r="E224" s="2" t="n"/>
      <c r="F224" s="2" t="n"/>
      <c r="G224" s="2" t="n"/>
    </row>
    <row r="225" ht="14.25" customHeight="1" s="46">
      <c r="A225" s="2" t="n"/>
      <c r="B225" s="2" t="n"/>
      <c r="C225" s="2" t="n"/>
      <c r="D225" s="2" t="n"/>
      <c r="E225" s="2" t="n"/>
      <c r="F225" s="2" t="n"/>
      <c r="G225" s="2" t="n"/>
    </row>
    <row r="226" ht="14.25" customHeight="1" s="46">
      <c r="A226" s="2" t="n"/>
      <c r="B226" s="2" t="n"/>
      <c r="C226" s="2" t="n"/>
      <c r="D226" s="2" t="n"/>
      <c r="E226" s="2" t="n"/>
      <c r="F226" s="2" t="n"/>
      <c r="G226" s="2" t="n"/>
    </row>
    <row r="227" ht="14.25" customHeight="1" s="46">
      <c r="A227" s="2" t="n"/>
      <c r="B227" s="2" t="n"/>
      <c r="C227" s="2" t="n"/>
      <c r="D227" s="2" t="n"/>
      <c r="E227" s="2" t="n"/>
      <c r="F227" s="2" t="n"/>
      <c r="G227" s="2" t="n"/>
    </row>
    <row r="228" ht="14.25" customHeight="1" s="46">
      <c r="A228" s="2" t="n"/>
      <c r="B228" s="2" t="n"/>
      <c r="C228" s="2" t="n"/>
      <c r="D228" s="2" t="n"/>
      <c r="E228" s="2" t="n"/>
      <c r="F228" s="2" t="n"/>
      <c r="G228" s="2" t="n"/>
    </row>
    <row r="229" ht="14.25" customHeight="1" s="46">
      <c r="A229" s="2" t="n"/>
      <c r="B229" s="2" t="n"/>
      <c r="C229" s="2" t="n"/>
      <c r="D229" s="2" t="n"/>
      <c r="E229" s="2" t="n"/>
      <c r="F229" s="2" t="n"/>
      <c r="G229" s="2" t="n"/>
    </row>
    <row r="230" ht="14.25" customHeight="1" s="46">
      <c r="A230" s="2" t="n"/>
      <c r="B230" s="2" t="n"/>
      <c r="C230" s="2" t="n"/>
      <c r="D230" s="2" t="n"/>
      <c r="E230" s="2" t="n"/>
      <c r="F230" s="2" t="n"/>
      <c r="G230" s="2" t="n"/>
    </row>
    <row r="231" ht="14.25" customHeight="1" s="46">
      <c r="A231" s="2" t="n"/>
      <c r="B231" s="2" t="n"/>
      <c r="C231" s="2" t="n"/>
      <c r="D231" s="2" t="n"/>
      <c r="E231" s="2" t="n"/>
      <c r="F231" s="2" t="n"/>
      <c r="G231" s="2" t="n"/>
    </row>
    <row r="232" ht="14.25" customHeight="1" s="46">
      <c r="A232" s="2" t="n"/>
      <c r="B232" s="2" t="n"/>
      <c r="C232" s="2" t="n"/>
      <c r="D232" s="2" t="n"/>
      <c r="E232" s="2" t="n"/>
      <c r="F232" s="2" t="n"/>
      <c r="G232" s="2" t="n"/>
    </row>
    <row r="233" ht="14.25" customHeight="1" s="46">
      <c r="A233" s="2" t="n"/>
      <c r="B233" s="2" t="n"/>
      <c r="C233" s="2" t="n"/>
      <c r="D233" s="2" t="n"/>
      <c r="E233" s="2" t="n"/>
      <c r="F233" s="2" t="n"/>
      <c r="G233" s="2" t="n"/>
    </row>
    <row r="234" ht="14.25" customHeight="1" s="46">
      <c r="A234" s="2" t="n"/>
      <c r="B234" s="2" t="n"/>
      <c r="C234" s="2" t="n"/>
      <c r="D234" s="2" t="n"/>
      <c r="E234" s="2" t="n"/>
      <c r="F234" s="2" t="n"/>
      <c r="G234" s="2" t="n"/>
    </row>
    <row r="235" ht="14.25" customHeight="1" s="46">
      <c r="A235" s="2" t="n"/>
      <c r="B235" s="2" t="n"/>
      <c r="C235" s="2" t="n"/>
      <c r="D235" s="2" t="n"/>
      <c r="E235" s="2" t="n"/>
      <c r="F235" s="2" t="n"/>
      <c r="G235" s="2" t="n"/>
    </row>
    <row r="236" ht="14.25" customHeight="1" s="46">
      <c r="A236" s="2" t="n"/>
      <c r="B236" s="2" t="n"/>
      <c r="C236" s="2" t="n"/>
      <c r="D236" s="2" t="n"/>
      <c r="E236" s="2" t="n"/>
      <c r="F236" s="2" t="n"/>
      <c r="G236" s="2" t="n"/>
    </row>
    <row r="237" ht="14.25" customHeight="1" s="46">
      <c r="A237" s="2" t="n"/>
      <c r="B237" s="2" t="n"/>
      <c r="C237" s="2" t="n"/>
      <c r="D237" s="2" t="n"/>
      <c r="E237" s="2" t="n"/>
      <c r="F237" s="2" t="n"/>
      <c r="G237" s="2" t="n"/>
    </row>
    <row r="238" ht="14.25" customHeight="1" s="46">
      <c r="A238" s="2" t="n"/>
      <c r="B238" s="2" t="n"/>
      <c r="C238" s="2" t="n"/>
      <c r="D238" s="2" t="n"/>
      <c r="E238" s="2" t="n"/>
      <c r="F238" s="2" t="n"/>
      <c r="G238" s="2" t="n"/>
    </row>
    <row r="239" ht="14.25" customHeight="1" s="46">
      <c r="A239" s="2" t="n"/>
      <c r="B239" s="2" t="n"/>
      <c r="C239" s="2" t="n"/>
      <c r="D239" s="2" t="n"/>
      <c r="E239" s="2" t="n"/>
      <c r="F239" s="2" t="n"/>
      <c r="G239" s="2" t="n"/>
    </row>
    <row r="240" ht="14.25" customHeight="1" s="46">
      <c r="A240" s="2" t="n"/>
      <c r="B240" s="2" t="n"/>
      <c r="C240" s="2" t="n"/>
      <c r="D240" s="2" t="n"/>
      <c r="E240" s="2" t="n"/>
      <c r="F240" s="2" t="n"/>
      <c r="G240" s="2" t="n"/>
    </row>
    <row r="241" ht="14.25" customHeight="1" s="46">
      <c r="A241" s="2" t="n"/>
      <c r="B241" s="2" t="n"/>
      <c r="C241" s="2" t="n"/>
      <c r="D241" s="2" t="n"/>
      <c r="E241" s="2" t="n"/>
      <c r="F241" s="2" t="n"/>
      <c r="G241" s="2" t="n"/>
    </row>
    <row r="242" ht="14.25" customHeight="1" s="46">
      <c r="A242" s="2" t="n"/>
      <c r="B242" s="2" t="n"/>
      <c r="C242" s="2" t="n"/>
      <c r="D242" s="2" t="n"/>
      <c r="E242" s="2" t="n"/>
      <c r="F242" s="2" t="n"/>
      <c r="G242" s="2" t="n"/>
    </row>
    <row r="243" ht="14.25" customHeight="1" s="46">
      <c r="A243" s="2" t="n"/>
      <c r="B243" s="2" t="n"/>
      <c r="C243" s="2" t="n"/>
      <c r="D243" s="2" t="n"/>
      <c r="E243" s="2" t="n"/>
      <c r="F243" s="2" t="n"/>
      <c r="G243" s="2" t="n"/>
    </row>
    <row r="244" ht="14.25" customHeight="1" s="46">
      <c r="A244" s="2" t="n"/>
      <c r="B244" s="2" t="n"/>
      <c r="C244" s="2" t="n"/>
      <c r="D244" s="2" t="n"/>
      <c r="E244" s="2" t="n"/>
      <c r="F244" s="2" t="n"/>
      <c r="G244" s="2" t="n"/>
    </row>
    <row r="245" ht="14.25" customHeight="1" s="46">
      <c r="A245" s="2" t="n"/>
      <c r="B245" s="2" t="n"/>
      <c r="C245" s="2" t="n"/>
      <c r="D245" s="2" t="n"/>
      <c r="E245" s="2" t="n"/>
      <c r="F245" s="2" t="n"/>
      <c r="G245" s="2" t="n"/>
    </row>
    <row r="246" ht="14.25" customHeight="1" s="46">
      <c r="A246" s="2" t="n"/>
      <c r="B246" s="2" t="n"/>
      <c r="C246" s="2" t="n"/>
      <c r="D246" s="2" t="n"/>
      <c r="E246" s="2" t="n"/>
      <c r="F246" s="2" t="n"/>
      <c r="G246" s="2" t="n"/>
    </row>
    <row r="247" ht="14.25" customHeight="1" s="46">
      <c r="A247" s="2" t="n"/>
      <c r="B247" s="2" t="n"/>
      <c r="C247" s="2" t="n"/>
      <c r="D247" s="2" t="n"/>
      <c r="E247" s="2" t="n"/>
      <c r="F247" s="2" t="n"/>
      <c r="G247" s="2" t="n"/>
    </row>
    <row r="248" ht="14.25" customHeight="1" s="46">
      <c r="A248" s="2" t="n"/>
      <c r="B248" s="2" t="n"/>
      <c r="C248" s="2" t="n"/>
      <c r="D248" s="2" t="n"/>
      <c r="E248" s="2" t="n"/>
      <c r="F248" s="2" t="n"/>
      <c r="G248" s="2" t="n"/>
    </row>
    <row r="249" ht="14.25" customHeight="1" s="46">
      <c r="A249" s="2" t="n"/>
      <c r="B249" s="2" t="n"/>
      <c r="C249" s="2" t="n"/>
      <c r="D249" s="2" t="n"/>
      <c r="E249" s="2" t="n"/>
      <c r="F249" s="2" t="n"/>
      <c r="G249" s="2" t="n"/>
    </row>
    <row r="250" ht="14.25" customHeight="1" s="46">
      <c r="A250" s="2" t="n"/>
      <c r="B250" s="2" t="n"/>
      <c r="C250" s="2" t="n"/>
      <c r="D250" s="2" t="n"/>
      <c r="E250" s="2" t="n"/>
      <c r="F250" s="2" t="n"/>
      <c r="G250" s="2" t="n"/>
    </row>
    <row r="251" ht="14.25" customHeight="1" s="46">
      <c r="A251" s="2" t="n"/>
      <c r="B251" s="2" t="n"/>
      <c r="C251" s="2" t="n"/>
      <c r="D251" s="2" t="n"/>
      <c r="E251" s="2" t="n"/>
      <c r="F251" s="2" t="n"/>
      <c r="G251" s="2" t="n"/>
    </row>
    <row r="252" ht="14.25" customHeight="1" s="46">
      <c r="A252" s="2" t="n"/>
      <c r="B252" s="2" t="n"/>
      <c r="C252" s="2" t="n"/>
      <c r="D252" s="2" t="n"/>
      <c r="E252" s="2" t="n"/>
      <c r="F252" s="2" t="n"/>
      <c r="G252" s="2" t="n"/>
    </row>
    <row r="253" ht="14.25" customHeight="1" s="46">
      <c r="A253" s="2" t="n"/>
      <c r="B253" s="2" t="n"/>
      <c r="C253" s="2" t="n"/>
      <c r="D253" s="2" t="n"/>
      <c r="E253" s="2" t="n"/>
      <c r="F253" s="2" t="n"/>
      <c r="G253" s="2" t="n"/>
    </row>
    <row r="254" ht="14.25" customHeight="1" s="46">
      <c r="A254" s="2" t="n"/>
      <c r="B254" s="2" t="n"/>
      <c r="C254" s="2" t="n"/>
      <c r="D254" s="2" t="n"/>
      <c r="E254" s="2" t="n"/>
      <c r="F254" s="2" t="n"/>
      <c r="G254" s="2" t="n"/>
    </row>
    <row r="255" ht="14.25" customHeight="1" s="46">
      <c r="A255" s="2" t="n"/>
      <c r="B255" s="2" t="n"/>
      <c r="C255" s="2" t="n"/>
      <c r="D255" s="2" t="n"/>
      <c r="E255" s="2" t="n"/>
      <c r="F255" s="2" t="n"/>
      <c r="G255" s="2" t="n"/>
    </row>
    <row r="256" ht="14.25" customHeight="1" s="46">
      <c r="A256" s="2" t="n"/>
      <c r="B256" s="2" t="n"/>
      <c r="C256" s="2" t="n"/>
      <c r="D256" s="2" t="n"/>
      <c r="E256" s="2" t="n"/>
      <c r="F256" s="2" t="n"/>
      <c r="G256" s="2" t="n"/>
    </row>
    <row r="257" ht="14.25" customHeight="1" s="46">
      <c r="A257" s="2" t="n"/>
      <c r="B257" s="2" t="n"/>
      <c r="C257" s="2" t="n"/>
      <c r="D257" s="2" t="n"/>
      <c r="E257" s="2" t="n"/>
      <c r="F257" s="2" t="n"/>
      <c r="G257" s="2" t="n"/>
    </row>
    <row r="258" ht="14.25" customHeight="1" s="46">
      <c r="A258" s="2" t="n"/>
      <c r="B258" s="2" t="n"/>
      <c r="C258" s="2" t="n"/>
      <c r="D258" s="2" t="n"/>
      <c r="E258" s="2" t="n"/>
      <c r="F258" s="2" t="n"/>
      <c r="G258" s="2" t="n"/>
    </row>
    <row r="259" ht="14.25" customHeight="1" s="46">
      <c r="A259" s="2" t="n"/>
      <c r="B259" s="2" t="n"/>
      <c r="C259" s="2" t="n"/>
      <c r="D259" s="2" t="n"/>
      <c r="E259" s="2" t="n"/>
      <c r="F259" s="2" t="n"/>
      <c r="G259" s="2" t="n"/>
    </row>
    <row r="260" ht="14.25" customHeight="1" s="46">
      <c r="A260" s="2" t="n"/>
      <c r="B260" s="2" t="n"/>
      <c r="C260" s="2" t="n"/>
      <c r="D260" s="2" t="n"/>
      <c r="E260" s="2" t="n"/>
      <c r="F260" s="2" t="n"/>
      <c r="G260" s="2" t="n"/>
    </row>
    <row r="261" ht="14.25" customHeight="1" s="46">
      <c r="A261" s="2" t="n"/>
      <c r="B261" s="2" t="n"/>
      <c r="C261" s="2" t="n"/>
      <c r="D261" s="2" t="n"/>
      <c r="E261" s="2" t="n"/>
      <c r="F261" s="2" t="n"/>
      <c r="G261" s="2" t="n"/>
    </row>
    <row r="262" ht="14.25" customHeight="1" s="46">
      <c r="A262" s="2" t="n"/>
      <c r="B262" s="2" t="n"/>
      <c r="C262" s="2" t="n"/>
      <c r="D262" s="2" t="n"/>
      <c r="E262" s="2" t="n"/>
      <c r="F262" s="2" t="n"/>
      <c r="G262" s="2" t="n"/>
    </row>
    <row r="263" ht="14.25" customHeight="1" s="46">
      <c r="A263" s="2" t="n"/>
      <c r="B263" s="2" t="n"/>
      <c r="C263" s="2" t="n"/>
      <c r="D263" s="2" t="n"/>
      <c r="E263" s="2" t="n"/>
      <c r="F263" s="2" t="n"/>
      <c r="G263" s="2" t="n"/>
    </row>
    <row r="264" ht="14.25" customHeight="1" s="46">
      <c r="A264" s="2" t="n"/>
      <c r="B264" s="2" t="n"/>
      <c r="C264" s="2" t="n"/>
      <c r="D264" s="2" t="n"/>
      <c r="E264" s="2" t="n"/>
      <c r="F264" s="2" t="n"/>
      <c r="G264" s="2" t="n"/>
    </row>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6.xml><?xml version="1.0" encoding="utf-8"?>
<worksheet xmlns="http://schemas.openxmlformats.org/spreadsheetml/2006/main">
  <sheetPr>
    <outlinePr summaryBelow="1" summaryRight="1"/>
    <pageSetUpPr/>
  </sheetPr>
  <dimension ref="A1:G22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46" min="1" max="1"/>
    <col width="12" customWidth="1" style="46" min="2" max="2"/>
    <col width="56" customWidth="1" style="46" min="3" max="3"/>
    <col width="42" customWidth="1" style="46" min="4" max="4"/>
    <col width="11" customWidth="1" style="46" min="5" max="5"/>
    <col width="30" customWidth="1" style="46" min="6" max="6"/>
    <col width="18" customWidth="1" style="46" min="7" max="7"/>
  </cols>
  <sheetData>
    <row r="1" ht="18" customHeight="1" s="46">
      <c r="A1" s="1" t="inlineStr">
        <is>
          <t>Step 4: the kinds of depth an industry can get</t>
        </is>
      </c>
      <c r="B1" s="2" t="n"/>
      <c r="C1" s="2" t="n"/>
      <c r="D1" s="2" t="n"/>
      <c r="E1" s="2" t="n"/>
      <c r="F1" s="2" t="n"/>
      <c r="G1" s="2" t="n"/>
    </row>
    <row r="2" ht="14.25" customHeight="1" s="46">
      <c r="A2" s="3" t="inlineStr">
        <is>
          <t>Five kinds, each a different sort of decision. Mark each Agree / Change / Drop.</t>
        </is>
      </c>
      <c r="B2" s="2" t="n"/>
      <c r="C2" s="2" t="n"/>
      <c r="D2" s="2" t="n"/>
      <c r="E2" s="2" t="n"/>
      <c r="F2" s="2" t="n"/>
      <c r="G2" s="2" t="n"/>
    </row>
    <row r="3" ht="14.25" customHeight="1" s="46">
      <c r="A3" s="2" t="n"/>
      <c r="B3" s="2" t="n"/>
      <c r="C3" s="2" t="n"/>
      <c r="D3" s="2" t="n"/>
      <c r="E3" s="2" t="n"/>
      <c r="F3" s="2" t="n"/>
      <c r="G3" s="2" t="n"/>
    </row>
    <row r="4" ht="14.25" customHeight="1" s="46">
      <c r="A4" s="9" t="inlineStr">
        <is>
          <t>ID</t>
        </is>
      </c>
      <c r="B4" s="9" t="inlineStr">
        <is>
          <t>Kind</t>
        </is>
      </c>
      <c r="C4" s="9" t="inlineStr">
        <is>
          <t>How it works</t>
        </is>
      </c>
      <c r="D4" s="9" t="inlineStr">
        <is>
          <t>The decision it creates</t>
        </is>
      </c>
      <c r="E4" s="9" t="inlineStr">
        <is>
          <t>Your call</t>
        </is>
      </c>
      <c r="F4" s="9" t="inlineStr">
        <is>
          <t>Your notes</t>
        </is>
      </c>
      <c r="G4" s="33" t="inlineStr">
        <is>
          <t>Status</t>
        </is>
      </c>
    </row>
    <row r="5" ht="69.75" customHeight="1" s="46">
      <c r="A5" s="7" t="inlineStr">
        <is>
          <t>M1</t>
        </is>
      </c>
      <c r="B5" s="7" t="inlineStr">
        <is>
          <t>Extension</t>
        </is>
      </c>
      <c r="C5" s="13" t="inlineStr">
        <is>
          <t>A small add-on built on a free tile touching its workplace. A workplace may have several different extensions, each built once. An extension adds an ability and may also add a flat bonus; it often runs on a consumable, and shows in the art.</t>
        </is>
      </c>
      <c r="D5" s="7" t="inlineStr">
        <is>
          <t>Where to spend tiles and upkeep, workplace by workplace.</t>
        </is>
      </c>
      <c r="E5" s="45" t="inlineStr">
        <is>
          <t>Change</t>
        </is>
      </c>
      <c r="F5" s="45" t="inlineStr">
        <is>
          <t>Each extension can be built once per workplace, but one workplace can have more than one possible extension. Can also add a flat bonus besides na ability</t>
        </is>
      </c>
      <c r="G5" s="13" t="inlineStr">
        <is>
          <t>Revised to your note</t>
        </is>
      </c>
    </row>
    <row r="6" ht="55.5" customHeight="1" s="46">
      <c r="A6" s="7" t="inlineStr">
        <is>
          <t>M2</t>
        </is>
      </c>
      <c r="B6" s="7" t="inlineStr">
        <is>
          <t>Upgrade</t>
        </is>
      </c>
      <c r="C6" s="13" t="inlineStr">
        <is>
          <t>The workplace is rebuilt in place with a new look. Upgrades usually add places and another bonus together (ratio, ability). A kind of workplace may have a chain of upgrades; for now each has one.</t>
        </is>
      </c>
      <c r="D6" s="7" t="inlineStr">
        <is>
          <t>Pay finer materials now to save raw ones later.</t>
        </is>
      </c>
      <c r="E6" s="45" t="inlineStr">
        <is>
          <t>Change</t>
        </is>
      </c>
      <c r="F6" s="45" t="inlineStr">
        <is>
          <t>Some may have a chain of upgrades. The or heve is not excludent, usually gain workplaces AND some other bonuses</t>
        </is>
      </c>
      <c r="G6" s="13" t="inlineStr">
        <is>
          <t>Revised to your note</t>
        </is>
      </c>
    </row>
    <row r="7" ht="27.75" customHeight="1" s="46">
      <c r="A7" s="7" t="inlineStr">
        <is>
          <t>M3</t>
        </is>
      </c>
      <c r="B7" s="7" t="inlineStr">
        <is>
          <t>Choice</t>
        </is>
      </c>
      <c r="C7" s="7" t="inlineStr">
        <is>
          <t>A town-wide pair (sometimes three) of exclusive ways of working, picked once.</t>
        </is>
      </c>
      <c r="D7" s="7" t="inlineStr">
        <is>
          <t>What kind of town this is; no going back.</t>
        </is>
      </c>
      <c r="E7" s="45" t="inlineStr">
        <is>
          <t>Agree</t>
        </is>
      </c>
      <c r="F7" s="45" t="n"/>
      <c r="G7" s="2" t="n"/>
    </row>
    <row r="8" ht="27.75" customHeight="1" s="46">
      <c r="A8" s="7" t="inlineStr">
        <is>
          <t>M4</t>
        </is>
      </c>
      <c r="B8" s="7" t="inlineStr">
        <is>
          <t>Variant</t>
        </is>
      </c>
      <c r="C8" s="7" t="inlineStr">
        <is>
          <t>A new crop, animal, breed or recipe for a building the town already has.</t>
        </is>
      </c>
      <c r="D8" s="7" t="inlineStr">
        <is>
          <t>Fit the land: poor soil, scrub, river.</t>
        </is>
      </c>
      <c r="E8" s="45" t="inlineStr">
        <is>
          <t>Agreed</t>
        </is>
      </c>
      <c r="F8" s="45" t="n"/>
      <c r="G8" s="2" t="n"/>
    </row>
    <row r="9" ht="42" customHeight="1" s="46">
      <c r="A9" s="7" t="inlineStr">
        <is>
          <t>M5</t>
        </is>
      </c>
      <c r="B9" s="7" t="inlineStr">
        <is>
          <t>Town option</t>
        </is>
      </c>
      <c r="C9" s="7" t="inlineStr">
        <is>
          <t>A cosmetic town-wide look with a small effect and a running cost; it can be switched off.</t>
        </is>
      </c>
      <c r="D9" s="7" t="inlineStr">
        <is>
          <t>Personalise the town, at a price.</t>
        </is>
      </c>
      <c r="E9" s="45" t="inlineStr">
        <is>
          <t>Agreed</t>
        </is>
      </c>
      <c r="F9" s="45" t="n"/>
      <c r="G9" s="2" t="n"/>
    </row>
    <row r="10" ht="42" customHeight="1" s="46">
      <c r="A10" s="7" t="inlineStr">
        <is>
          <t>M6</t>
        </is>
      </c>
      <c r="B10" s="7" t="inlineStr">
        <is>
          <t>Prices</t>
        </is>
      </c>
      <c r="C10" s="13" t="inlineStr">
        <is>
          <t>Knowledge in proportion to the bonus (G8). Learning by doing is required for upgrades and extensions, optional for variants and choices.</t>
        </is>
      </c>
      <c r="D10" s="7" t="n"/>
      <c r="E10" s="45" t="inlineStr">
        <is>
          <t>Change</t>
        </is>
      </c>
      <c r="F10" s="45" t="inlineStr">
        <is>
          <t>Learning by doing optional for variant and choice. Only mandatory for upgrades and extensions</t>
        </is>
      </c>
      <c r="G10" s="13" t="inlineStr">
        <is>
          <t>Revised to your note</t>
        </is>
      </c>
    </row>
    <row r="11" ht="14.25" customHeight="1" s="46">
      <c r="A11" s="2" t="n"/>
      <c r="B11" s="2" t="n"/>
      <c r="C11" s="2" t="n"/>
      <c r="D11" s="2" t="n"/>
      <c r="E11" s="2" t="n"/>
      <c r="F11" s="2" t="n"/>
      <c r="G11" s="2" t="n"/>
    </row>
    <row r="12" ht="14.25" customHeight="1" s="46">
      <c r="A12" s="2" t="n"/>
      <c r="B12" s="2" t="n"/>
      <c r="C12" s="2" t="n"/>
      <c r="D12" s="2" t="n"/>
      <c r="E12" s="2" t="n"/>
      <c r="F12" s="2" t="n"/>
      <c r="G12" s="2" t="n"/>
    </row>
    <row r="13" ht="14.25" customHeight="1" s="46">
      <c r="A13" s="2" t="n"/>
      <c r="B13" s="2" t="n"/>
      <c r="C13" s="2" t="n"/>
      <c r="D13" s="2" t="n"/>
      <c r="E13" s="2" t="n"/>
      <c r="F13" s="2" t="n"/>
      <c r="G13" s="2" t="n"/>
    </row>
    <row r="14" ht="14.25" customHeight="1" s="46">
      <c r="A14" s="2" t="n"/>
      <c r="B14" s="2" t="n"/>
      <c r="C14" s="2" t="n"/>
      <c r="D14" s="2" t="n"/>
      <c r="E14" s="2" t="n"/>
      <c r="F14" s="2" t="n"/>
      <c r="G14" s="2" t="n"/>
    </row>
    <row r="15" ht="14.25" customHeight="1" s="46">
      <c r="A15" s="2" t="n"/>
      <c r="B15" s="2" t="n"/>
      <c r="C15" s="2" t="n"/>
      <c r="D15" s="2" t="n"/>
      <c r="E15" s="2" t="n"/>
      <c r="F15" s="2" t="n"/>
      <c r="G15" s="2" t="n"/>
    </row>
    <row r="16" ht="14.25" customHeight="1" s="46">
      <c r="A16" s="2" t="n"/>
      <c r="B16" s="2" t="n"/>
      <c r="C16" s="2" t="n"/>
      <c r="D16" s="2" t="n"/>
      <c r="E16" s="2" t="n"/>
      <c r="F16" s="2" t="n"/>
      <c r="G16" s="2" t="n"/>
    </row>
    <row r="17" ht="14.25" customHeight="1" s="46">
      <c r="A17" s="2" t="n"/>
      <c r="B17" s="2" t="n"/>
      <c r="C17" s="2" t="n"/>
      <c r="D17" s="2" t="n"/>
      <c r="E17" s="2" t="n"/>
      <c r="F17" s="2" t="n"/>
      <c r="G17" s="2" t="n"/>
    </row>
    <row r="18" ht="14.25" customHeight="1" s="46">
      <c r="A18" s="2" t="n"/>
      <c r="B18" s="2" t="n"/>
      <c r="C18" s="2" t="n"/>
      <c r="D18" s="2" t="n"/>
      <c r="E18" s="2" t="n"/>
      <c r="F18" s="2" t="n"/>
      <c r="G18" s="2" t="n"/>
    </row>
    <row r="19" ht="14.25" customHeight="1" s="46">
      <c r="A19" s="2" t="n"/>
      <c r="B19" s="2" t="n"/>
      <c r="C19" s="2" t="n"/>
      <c r="D19" s="2" t="n"/>
      <c r="E19" s="2" t="n"/>
      <c r="F19" s="2" t="n"/>
      <c r="G19" s="2" t="n"/>
    </row>
    <row r="20" ht="14.25" customHeight="1" s="46">
      <c r="A20" s="2" t="n"/>
      <c r="B20" s="2" t="n"/>
      <c r="C20" s="2" t="n"/>
      <c r="D20" s="2" t="n"/>
      <c r="E20" s="2" t="n"/>
      <c r="F20" s="2" t="n"/>
      <c r="G20" s="2" t="n"/>
    </row>
    <row r="21" ht="14.25" customHeight="1" s="46">
      <c r="A21" s="2" t="n"/>
      <c r="B21" s="2" t="n"/>
      <c r="C21" s="2" t="n"/>
      <c r="D21" s="2" t="n"/>
      <c r="E21" s="2" t="n"/>
      <c r="F21" s="2" t="n"/>
      <c r="G21" s="2" t="n"/>
    </row>
    <row r="22" ht="14.25" customHeight="1" s="46">
      <c r="A22" s="2" t="n"/>
      <c r="B22" s="2" t="n"/>
      <c r="C22" s="2" t="n"/>
      <c r="D22" s="2" t="n"/>
      <c r="E22" s="2" t="n"/>
      <c r="F22" s="2" t="n"/>
      <c r="G22" s="2" t="n"/>
    </row>
    <row r="23" ht="14.25" customHeight="1" s="46">
      <c r="A23" s="2" t="n"/>
      <c r="B23" s="2" t="n"/>
      <c r="C23" s="2" t="n"/>
      <c r="D23" s="2" t="n"/>
      <c r="E23" s="2" t="n"/>
      <c r="F23" s="2" t="n"/>
      <c r="G23" s="2" t="n"/>
    </row>
    <row r="24" ht="14.25" customHeight="1" s="46">
      <c r="A24" s="2" t="n"/>
      <c r="B24" s="2" t="n"/>
      <c r="C24" s="2" t="n"/>
      <c r="D24" s="2" t="n"/>
      <c r="E24" s="2" t="n"/>
      <c r="F24" s="2" t="n"/>
      <c r="G24" s="2" t="n"/>
    </row>
    <row r="25" ht="14.25" customHeight="1" s="46">
      <c r="A25" s="2" t="n"/>
      <c r="B25" s="2" t="n"/>
      <c r="C25" s="2" t="n"/>
      <c r="D25" s="2" t="n"/>
      <c r="E25" s="2" t="n"/>
      <c r="F25" s="2" t="n"/>
      <c r="G25" s="2" t="n"/>
    </row>
    <row r="26" ht="14.25" customHeight="1" s="46">
      <c r="A26" s="2" t="n"/>
      <c r="B26" s="2" t="n"/>
      <c r="C26" s="2" t="n"/>
      <c r="D26" s="2" t="n"/>
      <c r="E26" s="2" t="n"/>
      <c r="F26" s="2" t="n"/>
      <c r="G26" s="2" t="n"/>
    </row>
    <row r="27" ht="14.25" customHeight="1" s="46">
      <c r="A27" s="2" t="n"/>
      <c r="B27" s="2" t="n"/>
      <c r="C27" s="2" t="n"/>
      <c r="D27" s="2" t="n"/>
      <c r="E27" s="2" t="n"/>
      <c r="F27" s="2" t="n"/>
      <c r="G27" s="2" t="n"/>
    </row>
    <row r="28" ht="14.25" customHeight="1" s="46">
      <c r="A28" s="2" t="n"/>
      <c r="B28" s="2" t="n"/>
      <c r="C28" s="2" t="n"/>
      <c r="D28" s="2" t="n"/>
      <c r="E28" s="2" t="n"/>
      <c r="F28" s="2" t="n"/>
      <c r="G28" s="2" t="n"/>
    </row>
    <row r="29" ht="14.25" customHeight="1" s="46">
      <c r="A29" s="2" t="n"/>
      <c r="B29" s="2" t="n"/>
      <c r="C29" s="2" t="n"/>
      <c r="D29" s="2" t="n"/>
      <c r="E29" s="2" t="n"/>
      <c r="F29" s="2" t="n"/>
      <c r="G29" s="2" t="n"/>
    </row>
    <row r="30" ht="14.25" customHeight="1" s="46">
      <c r="A30" s="2" t="n"/>
      <c r="B30" s="2" t="n"/>
      <c r="C30" s="2" t="n"/>
      <c r="D30" s="2" t="n"/>
      <c r="E30" s="2" t="n"/>
      <c r="F30" s="2" t="n"/>
      <c r="G30" s="2" t="n"/>
    </row>
    <row r="31" ht="14.25" customHeight="1" s="46">
      <c r="A31" s="2" t="n"/>
      <c r="B31" s="2" t="n"/>
      <c r="C31" s="2" t="n"/>
      <c r="D31" s="2" t="n"/>
      <c r="E31" s="2" t="n"/>
      <c r="F31" s="2" t="n"/>
      <c r="G31" s="2" t="n"/>
    </row>
    <row r="32" ht="14.25" customHeight="1" s="46">
      <c r="A32" s="2" t="n"/>
      <c r="B32" s="2" t="n"/>
      <c r="C32" s="2" t="n"/>
      <c r="D32" s="2" t="n"/>
      <c r="E32" s="2" t="n"/>
      <c r="F32" s="2" t="n"/>
      <c r="G32" s="2" t="n"/>
    </row>
    <row r="33" ht="14.25" customHeight="1" s="46">
      <c r="A33" s="2" t="n"/>
      <c r="B33" s="2" t="n"/>
      <c r="C33" s="2" t="n"/>
      <c r="D33" s="2" t="n"/>
      <c r="E33" s="2" t="n"/>
      <c r="F33" s="2" t="n"/>
      <c r="G33" s="2" t="n"/>
    </row>
    <row r="34" ht="14.25" customHeight="1" s="46">
      <c r="A34" s="2" t="n"/>
      <c r="B34" s="2" t="n"/>
      <c r="C34" s="2" t="n"/>
      <c r="D34" s="2" t="n"/>
      <c r="E34" s="2" t="n"/>
      <c r="F34" s="2" t="n"/>
      <c r="G34" s="2" t="n"/>
    </row>
    <row r="35" ht="14.25" customHeight="1" s="46">
      <c r="A35" s="2" t="n"/>
      <c r="B35" s="2" t="n"/>
      <c r="C35" s="2" t="n"/>
      <c r="D35" s="2" t="n"/>
      <c r="E35" s="2" t="n"/>
      <c r="F35" s="2" t="n"/>
      <c r="G35" s="2" t="n"/>
    </row>
    <row r="36" ht="14.25" customHeight="1" s="46">
      <c r="A36" s="2" t="n"/>
      <c r="B36" s="2" t="n"/>
      <c r="C36" s="2" t="n"/>
      <c r="D36" s="2" t="n"/>
      <c r="E36" s="2" t="n"/>
      <c r="F36" s="2" t="n"/>
      <c r="G36" s="2" t="n"/>
    </row>
    <row r="37" ht="14.25" customHeight="1" s="46">
      <c r="A37" s="2" t="n"/>
      <c r="B37" s="2" t="n"/>
      <c r="C37" s="2" t="n"/>
      <c r="D37" s="2" t="n"/>
      <c r="E37" s="2" t="n"/>
      <c r="F37" s="2" t="n"/>
      <c r="G37" s="2" t="n"/>
    </row>
    <row r="38" ht="14.25" customHeight="1" s="46">
      <c r="A38" s="2" t="n"/>
      <c r="B38" s="2" t="n"/>
      <c r="C38" s="2" t="n"/>
      <c r="D38" s="2" t="n"/>
      <c r="E38" s="2" t="n"/>
      <c r="F38" s="2" t="n"/>
      <c r="G38" s="2" t="n"/>
    </row>
    <row r="39" ht="14.25" customHeight="1" s="46">
      <c r="A39" s="2" t="n"/>
      <c r="B39" s="2" t="n"/>
      <c r="C39" s="2" t="n"/>
      <c r="D39" s="2" t="n"/>
      <c r="E39" s="2" t="n"/>
      <c r="F39" s="2" t="n"/>
      <c r="G39" s="2" t="n"/>
    </row>
    <row r="40" ht="14.25" customHeight="1" s="46">
      <c r="A40" s="2" t="n"/>
      <c r="B40" s="2" t="n"/>
      <c r="C40" s="2" t="n"/>
      <c r="D40" s="2" t="n"/>
      <c r="E40" s="2" t="n"/>
      <c r="F40" s="2" t="n"/>
      <c r="G40" s="2" t="n"/>
    </row>
    <row r="41" ht="14.25" customHeight="1" s="46">
      <c r="A41" s="2" t="n"/>
      <c r="B41" s="2" t="n"/>
      <c r="C41" s="2" t="n"/>
      <c r="D41" s="2" t="n"/>
      <c r="E41" s="2" t="n"/>
      <c r="F41" s="2" t="n"/>
      <c r="G41" s="2" t="n"/>
    </row>
    <row r="42" ht="14.25" customHeight="1" s="46">
      <c r="A42" s="2" t="n"/>
      <c r="B42" s="2" t="n"/>
      <c r="C42" s="2" t="n"/>
      <c r="D42" s="2" t="n"/>
      <c r="E42" s="2" t="n"/>
      <c r="F42" s="2" t="n"/>
      <c r="G42" s="2" t="n"/>
    </row>
    <row r="43" ht="14.25" customHeight="1" s="46">
      <c r="A43" s="2" t="n"/>
      <c r="B43" s="2" t="n"/>
      <c r="C43" s="2" t="n"/>
      <c r="D43" s="2" t="n"/>
      <c r="E43" s="2" t="n"/>
      <c r="F43" s="2" t="n"/>
      <c r="G43" s="2" t="n"/>
    </row>
    <row r="44" ht="14.25" customHeight="1" s="46">
      <c r="A44" s="2" t="n"/>
      <c r="B44" s="2" t="n"/>
      <c r="C44" s="2" t="n"/>
      <c r="D44" s="2" t="n"/>
      <c r="E44" s="2" t="n"/>
      <c r="F44" s="2" t="n"/>
      <c r="G44" s="2" t="n"/>
    </row>
    <row r="45" ht="14.25" customHeight="1" s="46">
      <c r="A45" s="2" t="n"/>
      <c r="B45" s="2" t="n"/>
      <c r="C45" s="2" t="n"/>
      <c r="D45" s="2" t="n"/>
      <c r="E45" s="2" t="n"/>
      <c r="F45" s="2" t="n"/>
      <c r="G45" s="2" t="n"/>
    </row>
    <row r="46" ht="14.25" customHeight="1" s="46">
      <c r="A46" s="2" t="n"/>
      <c r="B46" s="2" t="n"/>
      <c r="C46" s="2" t="n"/>
      <c r="D46" s="2" t="n"/>
      <c r="E46" s="2" t="n"/>
      <c r="F46" s="2" t="n"/>
      <c r="G46" s="2" t="n"/>
    </row>
    <row r="47" ht="14.25" customHeight="1" s="46">
      <c r="A47" s="2" t="n"/>
      <c r="B47" s="2" t="n"/>
      <c r="C47" s="2" t="n"/>
      <c r="D47" s="2" t="n"/>
      <c r="E47" s="2" t="n"/>
      <c r="F47" s="2" t="n"/>
      <c r="G47" s="2" t="n"/>
    </row>
    <row r="48" ht="14.25" customHeight="1" s="46">
      <c r="A48" s="2" t="n"/>
      <c r="B48" s="2" t="n"/>
      <c r="C48" s="2" t="n"/>
      <c r="D48" s="2" t="n"/>
      <c r="E48" s="2" t="n"/>
      <c r="F48" s="2" t="n"/>
      <c r="G48" s="2" t="n"/>
    </row>
    <row r="49" ht="14.25" customHeight="1" s="46">
      <c r="A49" s="2" t="n"/>
      <c r="B49" s="2" t="n"/>
      <c r="C49" s="2" t="n"/>
      <c r="D49" s="2" t="n"/>
      <c r="E49" s="2" t="n"/>
      <c r="F49" s="2" t="n"/>
      <c r="G49" s="2" t="n"/>
    </row>
    <row r="50" ht="14.25" customHeight="1" s="46">
      <c r="A50" s="2" t="n"/>
      <c r="B50" s="2" t="n"/>
      <c r="C50" s="2" t="n"/>
      <c r="D50" s="2" t="n"/>
      <c r="E50" s="2" t="n"/>
      <c r="F50" s="2" t="n"/>
      <c r="G50" s="2" t="n"/>
    </row>
    <row r="51" ht="14.25" customHeight="1" s="46">
      <c r="A51" s="2" t="n"/>
      <c r="B51" s="2" t="n"/>
      <c r="C51" s="2" t="n"/>
      <c r="D51" s="2" t="n"/>
      <c r="E51" s="2" t="n"/>
      <c r="F51" s="2" t="n"/>
      <c r="G51" s="2" t="n"/>
    </row>
    <row r="52" ht="14.25" customHeight="1" s="46">
      <c r="A52" s="2" t="n"/>
      <c r="B52" s="2" t="n"/>
      <c r="C52" s="2" t="n"/>
      <c r="D52" s="2" t="n"/>
      <c r="E52" s="2" t="n"/>
      <c r="F52" s="2" t="n"/>
      <c r="G52" s="2" t="n"/>
    </row>
    <row r="53" ht="14.25" customHeight="1" s="46">
      <c r="A53" s="2" t="n"/>
      <c r="B53" s="2" t="n"/>
      <c r="C53" s="2" t="n"/>
      <c r="D53" s="2" t="n"/>
      <c r="E53" s="2" t="n"/>
      <c r="F53" s="2" t="n"/>
      <c r="G53" s="2" t="n"/>
    </row>
    <row r="54" ht="14.25" customHeight="1" s="46">
      <c r="A54" s="2" t="n"/>
      <c r="B54" s="2" t="n"/>
      <c r="C54" s="2" t="n"/>
      <c r="D54" s="2" t="n"/>
      <c r="E54" s="2" t="n"/>
      <c r="F54" s="2" t="n"/>
      <c r="G54" s="2" t="n"/>
    </row>
    <row r="55" ht="14.25" customHeight="1" s="46">
      <c r="A55" s="2" t="n"/>
      <c r="B55" s="2" t="n"/>
      <c r="C55" s="2" t="n"/>
      <c r="D55" s="2" t="n"/>
      <c r="E55" s="2" t="n"/>
      <c r="F55" s="2" t="n"/>
      <c r="G55" s="2" t="n"/>
    </row>
    <row r="56" ht="14.25" customHeight="1" s="46">
      <c r="A56" s="2" t="n"/>
      <c r="B56" s="2" t="n"/>
      <c r="C56" s="2" t="n"/>
      <c r="D56" s="2" t="n"/>
      <c r="E56" s="2" t="n"/>
      <c r="F56" s="2" t="n"/>
      <c r="G56" s="2" t="n"/>
    </row>
    <row r="57" ht="14.25" customHeight="1" s="46">
      <c r="A57" s="2" t="n"/>
      <c r="B57" s="2" t="n"/>
      <c r="C57" s="2" t="n"/>
      <c r="D57" s="2" t="n"/>
      <c r="E57" s="2" t="n"/>
      <c r="F57" s="2" t="n"/>
      <c r="G57" s="2" t="n"/>
    </row>
    <row r="58" ht="14.25" customHeight="1" s="46">
      <c r="A58" s="2" t="n"/>
      <c r="B58" s="2" t="n"/>
      <c r="C58" s="2" t="n"/>
      <c r="D58" s="2" t="n"/>
      <c r="E58" s="2" t="n"/>
      <c r="F58" s="2" t="n"/>
      <c r="G58" s="2" t="n"/>
    </row>
    <row r="59" ht="14.25" customHeight="1" s="46">
      <c r="A59" s="2" t="n"/>
      <c r="B59" s="2" t="n"/>
      <c r="C59" s="2" t="n"/>
      <c r="D59" s="2" t="n"/>
      <c r="E59" s="2" t="n"/>
      <c r="F59" s="2" t="n"/>
      <c r="G59" s="2" t="n"/>
    </row>
    <row r="60" ht="14.25" customHeight="1" s="46">
      <c r="A60" s="2" t="n"/>
      <c r="B60" s="2" t="n"/>
      <c r="C60" s="2" t="n"/>
      <c r="D60" s="2" t="n"/>
      <c r="E60" s="2" t="n"/>
      <c r="F60" s="2" t="n"/>
      <c r="G60" s="2" t="n"/>
    </row>
    <row r="61" ht="14.25" customHeight="1" s="46">
      <c r="A61" s="2" t="n"/>
      <c r="B61" s="2" t="n"/>
      <c r="C61" s="2" t="n"/>
      <c r="D61" s="2" t="n"/>
      <c r="E61" s="2" t="n"/>
      <c r="F61" s="2" t="n"/>
      <c r="G61" s="2" t="n"/>
    </row>
    <row r="62" ht="14.25" customHeight="1" s="46">
      <c r="A62" s="2" t="n"/>
      <c r="B62" s="2" t="n"/>
      <c r="C62" s="2" t="n"/>
      <c r="D62" s="2" t="n"/>
      <c r="E62" s="2" t="n"/>
      <c r="F62" s="2" t="n"/>
      <c r="G62" s="2" t="n"/>
    </row>
    <row r="63" ht="14.25" customHeight="1" s="46">
      <c r="A63" s="2" t="n"/>
      <c r="B63" s="2" t="n"/>
      <c r="C63" s="2" t="n"/>
      <c r="D63" s="2" t="n"/>
      <c r="E63" s="2" t="n"/>
      <c r="F63" s="2" t="n"/>
      <c r="G63" s="2" t="n"/>
    </row>
    <row r="64" ht="14.25" customHeight="1" s="46">
      <c r="A64" s="2" t="n"/>
      <c r="B64" s="2" t="n"/>
      <c r="C64" s="2" t="n"/>
      <c r="D64" s="2" t="n"/>
      <c r="E64" s="2" t="n"/>
      <c r="F64" s="2" t="n"/>
      <c r="G64" s="2" t="n"/>
    </row>
    <row r="65" ht="14.25" customHeight="1" s="46">
      <c r="A65" s="2" t="n"/>
      <c r="B65" s="2" t="n"/>
      <c r="C65" s="2" t="n"/>
      <c r="D65" s="2" t="n"/>
      <c r="E65" s="2" t="n"/>
      <c r="F65" s="2" t="n"/>
      <c r="G65" s="2" t="n"/>
    </row>
    <row r="66" ht="14.25" customHeight="1" s="46">
      <c r="A66" s="2" t="n"/>
      <c r="B66" s="2" t="n"/>
      <c r="C66" s="2" t="n"/>
      <c r="D66" s="2" t="n"/>
      <c r="E66" s="2" t="n"/>
      <c r="F66" s="2" t="n"/>
      <c r="G66" s="2" t="n"/>
    </row>
    <row r="67" ht="14.25" customHeight="1" s="46">
      <c r="A67" s="2" t="n"/>
      <c r="B67" s="2" t="n"/>
      <c r="C67" s="2" t="n"/>
      <c r="D67" s="2" t="n"/>
      <c r="E67" s="2" t="n"/>
      <c r="F67" s="2" t="n"/>
      <c r="G67" s="2" t="n"/>
    </row>
    <row r="68" ht="14.25" customHeight="1" s="46">
      <c r="A68" s="2" t="n"/>
      <c r="B68" s="2" t="n"/>
      <c r="C68" s="2" t="n"/>
      <c r="D68" s="2" t="n"/>
      <c r="E68" s="2" t="n"/>
      <c r="F68" s="2" t="n"/>
      <c r="G68" s="2" t="n"/>
    </row>
    <row r="69" ht="14.25" customHeight="1" s="46">
      <c r="A69" s="2" t="n"/>
      <c r="B69" s="2" t="n"/>
      <c r="C69" s="2" t="n"/>
      <c r="D69" s="2" t="n"/>
      <c r="E69" s="2" t="n"/>
      <c r="F69" s="2" t="n"/>
      <c r="G69" s="2" t="n"/>
    </row>
    <row r="70" ht="14.25" customHeight="1" s="46">
      <c r="A70" s="2" t="n"/>
      <c r="B70" s="2" t="n"/>
      <c r="C70" s="2" t="n"/>
      <c r="D70" s="2" t="n"/>
      <c r="E70" s="2" t="n"/>
      <c r="F70" s="2" t="n"/>
      <c r="G70" s="2" t="n"/>
    </row>
    <row r="71" ht="14.25" customHeight="1" s="46">
      <c r="A71" s="2" t="n"/>
      <c r="B71" s="2" t="n"/>
      <c r="C71" s="2" t="n"/>
      <c r="D71" s="2" t="n"/>
      <c r="E71" s="2" t="n"/>
      <c r="F71" s="2" t="n"/>
      <c r="G71" s="2" t="n"/>
    </row>
    <row r="72" ht="14.25" customHeight="1" s="46">
      <c r="A72" s="2" t="n"/>
      <c r="B72" s="2" t="n"/>
      <c r="C72" s="2" t="n"/>
      <c r="D72" s="2" t="n"/>
      <c r="E72" s="2" t="n"/>
      <c r="F72" s="2" t="n"/>
      <c r="G72" s="2" t="n"/>
    </row>
    <row r="73" ht="14.25" customHeight="1" s="46">
      <c r="A73" s="2" t="n"/>
      <c r="B73" s="2" t="n"/>
      <c r="C73" s="2" t="n"/>
      <c r="D73" s="2" t="n"/>
      <c r="E73" s="2" t="n"/>
      <c r="F73" s="2" t="n"/>
      <c r="G73" s="2" t="n"/>
    </row>
    <row r="74" ht="14.25" customHeight="1" s="46">
      <c r="A74" s="2" t="n"/>
      <c r="B74" s="2" t="n"/>
      <c r="C74" s="2" t="n"/>
      <c r="D74" s="2" t="n"/>
      <c r="E74" s="2" t="n"/>
      <c r="F74" s="2" t="n"/>
      <c r="G74" s="2" t="n"/>
    </row>
    <row r="75" ht="14.25" customHeight="1" s="46">
      <c r="A75" s="2" t="n"/>
      <c r="B75" s="2" t="n"/>
      <c r="C75" s="2" t="n"/>
      <c r="D75" s="2" t="n"/>
      <c r="E75" s="2" t="n"/>
      <c r="F75" s="2" t="n"/>
      <c r="G75" s="2" t="n"/>
    </row>
    <row r="76" ht="14.25" customHeight="1" s="46">
      <c r="A76" s="2" t="n"/>
      <c r="B76" s="2" t="n"/>
      <c r="C76" s="2" t="n"/>
      <c r="D76" s="2" t="n"/>
      <c r="E76" s="2" t="n"/>
      <c r="F76" s="2" t="n"/>
      <c r="G76" s="2" t="n"/>
    </row>
    <row r="77" ht="14.25" customHeight="1" s="46">
      <c r="A77" s="2" t="n"/>
      <c r="B77" s="2" t="n"/>
      <c r="C77" s="2" t="n"/>
      <c r="D77" s="2" t="n"/>
      <c r="E77" s="2" t="n"/>
      <c r="F77" s="2" t="n"/>
      <c r="G77" s="2" t="n"/>
    </row>
    <row r="78" ht="14.25" customHeight="1" s="46">
      <c r="A78" s="2" t="n"/>
      <c r="B78" s="2" t="n"/>
      <c r="C78" s="2" t="n"/>
      <c r="D78" s="2" t="n"/>
      <c r="E78" s="2" t="n"/>
      <c r="F78" s="2" t="n"/>
      <c r="G78" s="2" t="n"/>
    </row>
    <row r="79" ht="14.25" customHeight="1" s="46">
      <c r="A79" s="2" t="n"/>
      <c r="B79" s="2" t="n"/>
      <c r="C79" s="2" t="n"/>
      <c r="D79" s="2" t="n"/>
      <c r="E79" s="2" t="n"/>
      <c r="F79" s="2" t="n"/>
      <c r="G79" s="2" t="n"/>
    </row>
    <row r="80" ht="14.25" customHeight="1" s="46">
      <c r="A80" s="2" t="n"/>
      <c r="B80" s="2" t="n"/>
      <c r="C80" s="2" t="n"/>
      <c r="D80" s="2" t="n"/>
      <c r="E80" s="2" t="n"/>
      <c r="F80" s="2" t="n"/>
      <c r="G80" s="2" t="n"/>
    </row>
    <row r="81" ht="14.25" customHeight="1" s="46">
      <c r="A81" s="2" t="n"/>
      <c r="B81" s="2" t="n"/>
      <c r="C81" s="2" t="n"/>
      <c r="D81" s="2" t="n"/>
      <c r="E81" s="2" t="n"/>
      <c r="F81" s="2" t="n"/>
      <c r="G81" s="2" t="n"/>
    </row>
    <row r="82" ht="14.25" customHeight="1" s="46">
      <c r="A82" s="2" t="n"/>
      <c r="B82" s="2" t="n"/>
      <c r="C82" s="2" t="n"/>
      <c r="D82" s="2" t="n"/>
      <c r="E82" s="2" t="n"/>
      <c r="F82" s="2" t="n"/>
      <c r="G82" s="2" t="n"/>
    </row>
    <row r="83" ht="14.25" customHeight="1" s="46">
      <c r="A83" s="2" t="n"/>
      <c r="B83" s="2" t="n"/>
      <c r="C83" s="2" t="n"/>
      <c r="D83" s="2" t="n"/>
      <c r="E83" s="2" t="n"/>
      <c r="F83" s="2" t="n"/>
      <c r="G83" s="2" t="n"/>
    </row>
    <row r="84" ht="14.25" customHeight="1" s="46">
      <c r="A84" s="2" t="n"/>
      <c r="B84" s="2" t="n"/>
      <c r="C84" s="2" t="n"/>
      <c r="D84" s="2" t="n"/>
      <c r="E84" s="2" t="n"/>
      <c r="F84" s="2" t="n"/>
      <c r="G84" s="2" t="n"/>
    </row>
    <row r="85" ht="14.25" customHeight="1" s="46">
      <c r="A85" s="2" t="n"/>
      <c r="B85" s="2" t="n"/>
      <c r="C85" s="2" t="n"/>
      <c r="D85" s="2" t="n"/>
      <c r="E85" s="2" t="n"/>
      <c r="F85" s="2" t="n"/>
      <c r="G85" s="2" t="n"/>
    </row>
    <row r="86" ht="14.25" customHeight="1" s="46">
      <c r="A86" s="2" t="n"/>
      <c r="B86" s="2" t="n"/>
      <c r="C86" s="2" t="n"/>
      <c r="D86" s="2" t="n"/>
      <c r="E86" s="2" t="n"/>
      <c r="F86" s="2" t="n"/>
      <c r="G86" s="2" t="n"/>
    </row>
    <row r="87" ht="14.25" customHeight="1" s="46">
      <c r="A87" s="2" t="n"/>
      <c r="B87" s="2" t="n"/>
      <c r="C87" s="2" t="n"/>
      <c r="D87" s="2" t="n"/>
      <c r="E87" s="2" t="n"/>
      <c r="F87" s="2" t="n"/>
      <c r="G87" s="2" t="n"/>
    </row>
    <row r="88" ht="14.25" customHeight="1" s="46">
      <c r="A88" s="2" t="n"/>
      <c r="B88" s="2" t="n"/>
      <c r="C88" s="2" t="n"/>
      <c r="D88" s="2" t="n"/>
      <c r="E88" s="2" t="n"/>
      <c r="F88" s="2" t="n"/>
      <c r="G88" s="2" t="n"/>
    </row>
    <row r="89" ht="14.25" customHeight="1" s="46">
      <c r="A89" s="2" t="n"/>
      <c r="B89" s="2" t="n"/>
      <c r="C89" s="2" t="n"/>
      <c r="D89" s="2" t="n"/>
      <c r="E89" s="2" t="n"/>
      <c r="F89" s="2" t="n"/>
      <c r="G89" s="2" t="n"/>
    </row>
    <row r="90" ht="14.25" customHeight="1" s="46">
      <c r="A90" s="2" t="n"/>
      <c r="B90" s="2" t="n"/>
      <c r="C90" s="2" t="n"/>
      <c r="D90" s="2" t="n"/>
      <c r="E90" s="2" t="n"/>
      <c r="F90" s="2" t="n"/>
      <c r="G90" s="2" t="n"/>
    </row>
    <row r="91" ht="14.25" customHeight="1" s="46">
      <c r="A91" s="2" t="n"/>
      <c r="B91" s="2" t="n"/>
      <c r="C91" s="2" t="n"/>
      <c r="D91" s="2" t="n"/>
      <c r="E91" s="2" t="n"/>
      <c r="F91" s="2" t="n"/>
      <c r="G91" s="2" t="n"/>
    </row>
    <row r="92" ht="14.25" customHeight="1" s="46">
      <c r="A92" s="2" t="n"/>
      <c r="B92" s="2" t="n"/>
      <c r="C92" s="2" t="n"/>
      <c r="D92" s="2" t="n"/>
      <c r="E92" s="2" t="n"/>
      <c r="F92" s="2" t="n"/>
      <c r="G92" s="2" t="n"/>
    </row>
    <row r="93" ht="14.25" customHeight="1" s="46">
      <c r="A93" s="2" t="n"/>
      <c r="B93" s="2" t="n"/>
      <c r="C93" s="2" t="n"/>
      <c r="D93" s="2" t="n"/>
      <c r="E93" s="2" t="n"/>
      <c r="F93" s="2" t="n"/>
      <c r="G93" s="2" t="n"/>
    </row>
    <row r="94" ht="14.25" customHeight="1" s="46">
      <c r="A94" s="2" t="n"/>
      <c r="B94" s="2" t="n"/>
      <c r="C94" s="2" t="n"/>
      <c r="D94" s="2" t="n"/>
      <c r="E94" s="2" t="n"/>
      <c r="F94" s="2" t="n"/>
      <c r="G94" s="2" t="n"/>
    </row>
    <row r="95" ht="14.25" customHeight="1" s="46">
      <c r="A95" s="2" t="n"/>
      <c r="B95" s="2" t="n"/>
      <c r="C95" s="2" t="n"/>
      <c r="D95" s="2" t="n"/>
      <c r="E95" s="2" t="n"/>
      <c r="F95" s="2" t="n"/>
      <c r="G95" s="2" t="n"/>
    </row>
    <row r="96" ht="14.25" customHeight="1" s="46">
      <c r="A96" s="2" t="n"/>
      <c r="B96" s="2" t="n"/>
      <c r="C96" s="2" t="n"/>
      <c r="D96" s="2" t="n"/>
      <c r="E96" s="2" t="n"/>
      <c r="F96" s="2" t="n"/>
      <c r="G96" s="2" t="n"/>
    </row>
    <row r="97" ht="14.25" customHeight="1" s="46">
      <c r="A97" s="2" t="n"/>
      <c r="B97" s="2" t="n"/>
      <c r="C97" s="2" t="n"/>
      <c r="D97" s="2" t="n"/>
      <c r="E97" s="2" t="n"/>
      <c r="F97" s="2" t="n"/>
      <c r="G97" s="2" t="n"/>
    </row>
    <row r="98" ht="14.25" customHeight="1" s="46">
      <c r="A98" s="2" t="n"/>
      <c r="B98" s="2" t="n"/>
      <c r="C98" s="2" t="n"/>
      <c r="D98" s="2" t="n"/>
      <c r="E98" s="2" t="n"/>
      <c r="F98" s="2" t="n"/>
      <c r="G98" s="2" t="n"/>
    </row>
    <row r="99" ht="14.25" customHeight="1" s="46">
      <c r="A99" s="2" t="n"/>
      <c r="B99" s="2" t="n"/>
      <c r="C99" s="2" t="n"/>
      <c r="D99" s="2" t="n"/>
      <c r="E99" s="2" t="n"/>
      <c r="F99" s="2" t="n"/>
      <c r="G99" s="2" t="n"/>
    </row>
    <row r="100" ht="14.25" customHeight="1" s="46">
      <c r="A100" s="2" t="n"/>
      <c r="B100" s="2" t="n"/>
      <c r="C100" s="2" t="n"/>
      <c r="D100" s="2" t="n"/>
      <c r="E100" s="2" t="n"/>
      <c r="F100" s="2" t="n"/>
      <c r="G100" s="2" t="n"/>
    </row>
    <row r="101" ht="14.25" customHeight="1" s="46">
      <c r="A101" s="2" t="n"/>
      <c r="B101" s="2" t="n"/>
      <c r="C101" s="2" t="n"/>
      <c r="D101" s="2" t="n"/>
      <c r="E101" s="2" t="n"/>
      <c r="F101" s="2" t="n"/>
      <c r="G101" s="2" t="n"/>
    </row>
    <row r="102" ht="14.25" customHeight="1" s="46">
      <c r="A102" s="2" t="n"/>
      <c r="B102" s="2" t="n"/>
      <c r="C102" s="2" t="n"/>
      <c r="D102" s="2" t="n"/>
      <c r="E102" s="2" t="n"/>
      <c r="F102" s="2" t="n"/>
      <c r="G102" s="2" t="n"/>
    </row>
    <row r="103" ht="14.25" customHeight="1" s="46">
      <c r="A103" s="2" t="n"/>
      <c r="B103" s="2" t="n"/>
      <c r="C103" s="2" t="n"/>
      <c r="D103" s="2" t="n"/>
      <c r="E103" s="2" t="n"/>
      <c r="F103" s="2" t="n"/>
      <c r="G103" s="2" t="n"/>
    </row>
    <row r="104" ht="14.25" customHeight="1" s="46">
      <c r="A104" s="2" t="n"/>
      <c r="B104" s="2" t="n"/>
      <c r="C104" s="2" t="n"/>
      <c r="D104" s="2" t="n"/>
      <c r="E104" s="2" t="n"/>
      <c r="F104" s="2" t="n"/>
      <c r="G104" s="2" t="n"/>
    </row>
    <row r="105" ht="14.25" customHeight="1" s="46">
      <c r="A105" s="2" t="n"/>
      <c r="B105" s="2" t="n"/>
      <c r="C105" s="2" t="n"/>
      <c r="D105" s="2" t="n"/>
      <c r="E105" s="2" t="n"/>
      <c r="F105" s="2" t="n"/>
      <c r="G105" s="2" t="n"/>
    </row>
    <row r="106" ht="14.25" customHeight="1" s="46">
      <c r="A106" s="2" t="n"/>
      <c r="B106" s="2" t="n"/>
      <c r="C106" s="2" t="n"/>
      <c r="D106" s="2" t="n"/>
      <c r="E106" s="2" t="n"/>
      <c r="F106" s="2" t="n"/>
      <c r="G106" s="2" t="n"/>
    </row>
    <row r="107" ht="14.25" customHeight="1" s="46">
      <c r="A107" s="2" t="n"/>
      <c r="B107" s="2" t="n"/>
      <c r="C107" s="2" t="n"/>
      <c r="D107" s="2" t="n"/>
      <c r="E107" s="2" t="n"/>
      <c r="F107" s="2" t="n"/>
      <c r="G107" s="2" t="n"/>
    </row>
    <row r="108" ht="14.25" customHeight="1" s="46">
      <c r="A108" s="2" t="n"/>
      <c r="B108" s="2" t="n"/>
      <c r="C108" s="2" t="n"/>
      <c r="D108" s="2" t="n"/>
      <c r="E108" s="2" t="n"/>
      <c r="F108" s="2" t="n"/>
      <c r="G108" s="2" t="n"/>
    </row>
    <row r="109" ht="14.25" customHeight="1" s="46">
      <c r="A109" s="2" t="n"/>
      <c r="B109" s="2" t="n"/>
      <c r="C109" s="2" t="n"/>
      <c r="D109" s="2" t="n"/>
      <c r="E109" s="2" t="n"/>
      <c r="F109" s="2" t="n"/>
      <c r="G109" s="2" t="n"/>
    </row>
    <row r="110" ht="14.25" customHeight="1" s="46">
      <c r="A110" s="2" t="n"/>
      <c r="B110" s="2" t="n"/>
      <c r="C110" s="2" t="n"/>
      <c r="D110" s="2" t="n"/>
      <c r="E110" s="2" t="n"/>
      <c r="F110" s="2" t="n"/>
      <c r="G110" s="2" t="n"/>
    </row>
    <row r="111" ht="14.25" customHeight="1" s="46">
      <c r="A111" s="2" t="n"/>
      <c r="B111" s="2" t="n"/>
      <c r="C111" s="2" t="n"/>
      <c r="D111" s="2" t="n"/>
      <c r="E111" s="2" t="n"/>
      <c r="F111" s="2" t="n"/>
      <c r="G111" s="2" t="n"/>
    </row>
    <row r="112" ht="14.25" customHeight="1" s="46">
      <c r="A112" s="2" t="n"/>
      <c r="B112" s="2" t="n"/>
      <c r="C112" s="2" t="n"/>
      <c r="D112" s="2" t="n"/>
      <c r="E112" s="2" t="n"/>
      <c r="F112" s="2" t="n"/>
      <c r="G112" s="2" t="n"/>
    </row>
    <row r="113" ht="14.25" customHeight="1" s="46">
      <c r="A113" s="2" t="n"/>
      <c r="B113" s="2" t="n"/>
      <c r="C113" s="2" t="n"/>
      <c r="D113" s="2" t="n"/>
      <c r="E113" s="2" t="n"/>
      <c r="F113" s="2" t="n"/>
      <c r="G113" s="2" t="n"/>
    </row>
    <row r="114" ht="14.25" customHeight="1" s="46">
      <c r="A114" s="2" t="n"/>
      <c r="B114" s="2" t="n"/>
      <c r="C114" s="2" t="n"/>
      <c r="D114" s="2" t="n"/>
      <c r="E114" s="2" t="n"/>
      <c r="F114" s="2" t="n"/>
      <c r="G114" s="2" t="n"/>
    </row>
    <row r="115" ht="14.25" customHeight="1" s="46">
      <c r="A115" s="2" t="n"/>
      <c r="B115" s="2" t="n"/>
      <c r="C115" s="2" t="n"/>
      <c r="D115" s="2" t="n"/>
      <c r="E115" s="2" t="n"/>
      <c r="F115" s="2" t="n"/>
      <c r="G115" s="2" t="n"/>
    </row>
    <row r="116" ht="14.25" customHeight="1" s="46">
      <c r="A116" s="2" t="n"/>
      <c r="B116" s="2" t="n"/>
      <c r="C116" s="2" t="n"/>
      <c r="D116" s="2" t="n"/>
      <c r="E116" s="2" t="n"/>
      <c r="F116" s="2" t="n"/>
      <c r="G116" s="2" t="n"/>
    </row>
    <row r="117" ht="14.25" customHeight="1" s="46">
      <c r="A117" s="2" t="n"/>
      <c r="B117" s="2" t="n"/>
      <c r="C117" s="2" t="n"/>
      <c r="D117" s="2" t="n"/>
      <c r="E117" s="2" t="n"/>
      <c r="F117" s="2" t="n"/>
      <c r="G117" s="2" t="n"/>
    </row>
    <row r="118" ht="14.25" customHeight="1" s="46">
      <c r="A118" s="2" t="n"/>
      <c r="B118" s="2" t="n"/>
      <c r="C118" s="2" t="n"/>
      <c r="D118" s="2" t="n"/>
      <c r="E118" s="2" t="n"/>
      <c r="F118" s="2" t="n"/>
      <c r="G118" s="2" t="n"/>
    </row>
    <row r="119" ht="14.25" customHeight="1" s="46">
      <c r="A119" s="2" t="n"/>
      <c r="B119" s="2" t="n"/>
      <c r="C119" s="2" t="n"/>
      <c r="D119" s="2" t="n"/>
      <c r="E119" s="2" t="n"/>
      <c r="F119" s="2" t="n"/>
      <c r="G119" s="2" t="n"/>
    </row>
    <row r="120" ht="14.25" customHeight="1" s="46">
      <c r="A120" s="2" t="n"/>
      <c r="B120" s="2" t="n"/>
      <c r="C120" s="2" t="n"/>
      <c r="D120" s="2" t="n"/>
      <c r="E120" s="2" t="n"/>
      <c r="F120" s="2" t="n"/>
      <c r="G120" s="2" t="n"/>
    </row>
    <row r="121" ht="14.25" customHeight="1" s="46">
      <c r="A121" s="2" t="n"/>
      <c r="B121" s="2" t="n"/>
      <c r="C121" s="2" t="n"/>
      <c r="D121" s="2" t="n"/>
      <c r="E121" s="2" t="n"/>
      <c r="F121" s="2" t="n"/>
      <c r="G121" s="2" t="n"/>
    </row>
    <row r="122" ht="14.25" customHeight="1" s="46">
      <c r="A122" s="2" t="n"/>
      <c r="B122" s="2" t="n"/>
      <c r="C122" s="2" t="n"/>
      <c r="D122" s="2" t="n"/>
      <c r="E122" s="2" t="n"/>
      <c r="F122" s="2" t="n"/>
      <c r="G122" s="2" t="n"/>
    </row>
    <row r="123" ht="14.25" customHeight="1" s="46">
      <c r="A123" s="2" t="n"/>
      <c r="B123" s="2" t="n"/>
      <c r="C123" s="2" t="n"/>
      <c r="D123" s="2" t="n"/>
      <c r="E123" s="2" t="n"/>
      <c r="F123" s="2" t="n"/>
      <c r="G123" s="2" t="n"/>
    </row>
    <row r="124" ht="14.25" customHeight="1" s="46">
      <c r="A124" s="2" t="n"/>
      <c r="B124" s="2" t="n"/>
      <c r="C124" s="2" t="n"/>
      <c r="D124" s="2" t="n"/>
      <c r="E124" s="2" t="n"/>
      <c r="F124" s="2" t="n"/>
      <c r="G124" s="2" t="n"/>
    </row>
    <row r="125" ht="14.25" customHeight="1" s="46">
      <c r="A125" s="2" t="n"/>
      <c r="B125" s="2" t="n"/>
      <c r="C125" s="2" t="n"/>
      <c r="D125" s="2" t="n"/>
      <c r="E125" s="2" t="n"/>
      <c r="F125" s="2" t="n"/>
      <c r="G125" s="2" t="n"/>
    </row>
    <row r="126" ht="14.25" customHeight="1" s="46">
      <c r="A126" s="2" t="n"/>
      <c r="B126" s="2" t="n"/>
      <c r="C126" s="2" t="n"/>
      <c r="D126" s="2" t="n"/>
      <c r="E126" s="2" t="n"/>
      <c r="F126" s="2" t="n"/>
      <c r="G126" s="2" t="n"/>
    </row>
    <row r="127" ht="14.25" customHeight="1" s="46">
      <c r="A127" s="2" t="n"/>
      <c r="B127" s="2" t="n"/>
      <c r="C127" s="2" t="n"/>
      <c r="D127" s="2" t="n"/>
      <c r="E127" s="2" t="n"/>
      <c r="F127" s="2" t="n"/>
      <c r="G127" s="2" t="n"/>
    </row>
    <row r="128" ht="14.25" customHeight="1" s="46">
      <c r="A128" s="2" t="n"/>
      <c r="B128" s="2" t="n"/>
      <c r="C128" s="2" t="n"/>
      <c r="D128" s="2" t="n"/>
      <c r="E128" s="2" t="n"/>
      <c r="F128" s="2" t="n"/>
      <c r="G128" s="2" t="n"/>
    </row>
    <row r="129" ht="14.25" customHeight="1" s="46">
      <c r="A129" s="2" t="n"/>
      <c r="B129" s="2" t="n"/>
      <c r="C129" s="2" t="n"/>
      <c r="D129" s="2" t="n"/>
      <c r="E129" s="2" t="n"/>
      <c r="F129" s="2" t="n"/>
      <c r="G129" s="2" t="n"/>
    </row>
    <row r="130" ht="14.25" customHeight="1" s="46">
      <c r="A130" s="2" t="n"/>
      <c r="B130" s="2" t="n"/>
      <c r="C130" s="2" t="n"/>
      <c r="D130" s="2" t="n"/>
      <c r="E130" s="2" t="n"/>
      <c r="F130" s="2" t="n"/>
      <c r="G130" s="2" t="n"/>
    </row>
    <row r="131" ht="14.25" customHeight="1" s="46">
      <c r="A131" s="2" t="n"/>
      <c r="B131" s="2" t="n"/>
      <c r="C131" s="2" t="n"/>
      <c r="D131" s="2" t="n"/>
      <c r="E131" s="2" t="n"/>
      <c r="F131" s="2" t="n"/>
      <c r="G131" s="2" t="n"/>
    </row>
    <row r="132" ht="14.25" customHeight="1" s="46">
      <c r="A132" s="2" t="n"/>
      <c r="B132" s="2" t="n"/>
      <c r="C132" s="2" t="n"/>
      <c r="D132" s="2" t="n"/>
      <c r="E132" s="2" t="n"/>
      <c r="F132" s="2" t="n"/>
      <c r="G132" s="2" t="n"/>
    </row>
    <row r="133" ht="14.25" customHeight="1" s="46">
      <c r="A133" s="2" t="n"/>
      <c r="B133" s="2" t="n"/>
      <c r="C133" s="2" t="n"/>
      <c r="D133" s="2" t="n"/>
      <c r="E133" s="2" t="n"/>
      <c r="F133" s="2" t="n"/>
      <c r="G133" s="2" t="n"/>
    </row>
    <row r="134" ht="14.25" customHeight="1" s="46">
      <c r="A134" s="2" t="n"/>
      <c r="B134" s="2" t="n"/>
      <c r="C134" s="2" t="n"/>
      <c r="D134" s="2" t="n"/>
      <c r="E134" s="2" t="n"/>
      <c r="F134" s="2" t="n"/>
      <c r="G134" s="2" t="n"/>
    </row>
    <row r="135" ht="14.25" customHeight="1" s="46">
      <c r="A135" s="2" t="n"/>
      <c r="B135" s="2" t="n"/>
      <c r="C135" s="2" t="n"/>
      <c r="D135" s="2" t="n"/>
      <c r="E135" s="2" t="n"/>
      <c r="F135" s="2" t="n"/>
      <c r="G135" s="2" t="n"/>
    </row>
    <row r="136" ht="14.25" customHeight="1" s="46">
      <c r="A136" s="2" t="n"/>
      <c r="B136" s="2" t="n"/>
      <c r="C136" s="2" t="n"/>
      <c r="D136" s="2" t="n"/>
      <c r="E136" s="2" t="n"/>
      <c r="F136" s="2" t="n"/>
      <c r="G136" s="2" t="n"/>
    </row>
    <row r="137" ht="14.25" customHeight="1" s="46">
      <c r="A137" s="2" t="n"/>
      <c r="B137" s="2" t="n"/>
      <c r="C137" s="2" t="n"/>
      <c r="D137" s="2" t="n"/>
      <c r="E137" s="2" t="n"/>
      <c r="F137" s="2" t="n"/>
      <c r="G137" s="2" t="n"/>
    </row>
    <row r="138" ht="14.25" customHeight="1" s="46">
      <c r="A138" s="2" t="n"/>
      <c r="B138" s="2" t="n"/>
      <c r="C138" s="2" t="n"/>
      <c r="D138" s="2" t="n"/>
      <c r="E138" s="2" t="n"/>
      <c r="F138" s="2" t="n"/>
      <c r="G138" s="2" t="n"/>
    </row>
    <row r="139" ht="14.25" customHeight="1" s="46">
      <c r="A139" s="2" t="n"/>
      <c r="B139" s="2" t="n"/>
      <c r="C139" s="2" t="n"/>
      <c r="D139" s="2" t="n"/>
      <c r="E139" s="2" t="n"/>
      <c r="F139" s="2" t="n"/>
      <c r="G139" s="2" t="n"/>
    </row>
    <row r="140" ht="14.25" customHeight="1" s="46">
      <c r="A140" s="2" t="n"/>
      <c r="B140" s="2" t="n"/>
      <c r="C140" s="2" t="n"/>
      <c r="D140" s="2" t="n"/>
      <c r="E140" s="2" t="n"/>
      <c r="F140" s="2" t="n"/>
      <c r="G140" s="2" t="n"/>
    </row>
    <row r="141" ht="14.25" customHeight="1" s="46">
      <c r="A141" s="2" t="n"/>
      <c r="B141" s="2" t="n"/>
      <c r="C141" s="2" t="n"/>
      <c r="D141" s="2" t="n"/>
      <c r="E141" s="2" t="n"/>
      <c r="F141" s="2" t="n"/>
      <c r="G141" s="2" t="n"/>
    </row>
    <row r="142" ht="14.25" customHeight="1" s="46">
      <c r="A142" s="2" t="n"/>
      <c r="B142" s="2" t="n"/>
      <c r="C142" s="2" t="n"/>
      <c r="D142" s="2" t="n"/>
      <c r="E142" s="2" t="n"/>
      <c r="F142" s="2" t="n"/>
      <c r="G142" s="2" t="n"/>
    </row>
    <row r="143" ht="14.25" customHeight="1" s="46">
      <c r="A143" s="2" t="n"/>
      <c r="B143" s="2" t="n"/>
      <c r="C143" s="2" t="n"/>
      <c r="D143" s="2" t="n"/>
      <c r="E143" s="2" t="n"/>
      <c r="F143" s="2" t="n"/>
      <c r="G143" s="2" t="n"/>
    </row>
    <row r="144" ht="14.25" customHeight="1" s="46">
      <c r="A144" s="2" t="n"/>
      <c r="B144" s="2" t="n"/>
      <c r="C144" s="2" t="n"/>
      <c r="D144" s="2" t="n"/>
      <c r="E144" s="2" t="n"/>
      <c r="F144" s="2" t="n"/>
      <c r="G144" s="2" t="n"/>
    </row>
    <row r="145" ht="14.25" customHeight="1" s="46">
      <c r="A145" s="2" t="n"/>
      <c r="B145" s="2" t="n"/>
      <c r="C145" s="2" t="n"/>
      <c r="D145" s="2" t="n"/>
      <c r="E145" s="2" t="n"/>
      <c r="F145" s="2" t="n"/>
      <c r="G145" s="2" t="n"/>
    </row>
    <row r="146" ht="14.25" customHeight="1" s="46">
      <c r="A146" s="2" t="n"/>
      <c r="B146" s="2" t="n"/>
      <c r="C146" s="2" t="n"/>
      <c r="D146" s="2" t="n"/>
      <c r="E146" s="2" t="n"/>
      <c r="F146" s="2" t="n"/>
      <c r="G146" s="2" t="n"/>
    </row>
    <row r="147" ht="14.25" customHeight="1" s="46">
      <c r="A147" s="2" t="n"/>
      <c r="B147" s="2" t="n"/>
      <c r="C147" s="2" t="n"/>
      <c r="D147" s="2" t="n"/>
      <c r="E147" s="2" t="n"/>
      <c r="F147" s="2" t="n"/>
      <c r="G147" s="2" t="n"/>
    </row>
    <row r="148" ht="14.25" customHeight="1" s="46">
      <c r="A148" s="2" t="n"/>
      <c r="B148" s="2" t="n"/>
      <c r="C148" s="2" t="n"/>
      <c r="D148" s="2" t="n"/>
      <c r="E148" s="2" t="n"/>
      <c r="F148" s="2" t="n"/>
      <c r="G148" s="2" t="n"/>
    </row>
    <row r="149" ht="14.25" customHeight="1" s="46">
      <c r="A149" s="2" t="n"/>
      <c r="B149" s="2" t="n"/>
      <c r="C149" s="2" t="n"/>
      <c r="D149" s="2" t="n"/>
      <c r="E149" s="2" t="n"/>
      <c r="F149" s="2" t="n"/>
      <c r="G149" s="2" t="n"/>
    </row>
    <row r="150" ht="14.25" customHeight="1" s="46">
      <c r="A150" s="2" t="n"/>
      <c r="B150" s="2" t="n"/>
      <c r="C150" s="2" t="n"/>
      <c r="D150" s="2" t="n"/>
      <c r="E150" s="2" t="n"/>
      <c r="F150" s="2" t="n"/>
      <c r="G150" s="2" t="n"/>
    </row>
    <row r="151" ht="14.25" customHeight="1" s="46">
      <c r="A151" s="2" t="n"/>
      <c r="B151" s="2" t="n"/>
      <c r="C151" s="2" t="n"/>
      <c r="D151" s="2" t="n"/>
      <c r="E151" s="2" t="n"/>
      <c r="F151" s="2" t="n"/>
      <c r="G151" s="2" t="n"/>
    </row>
    <row r="152" ht="14.25" customHeight="1" s="46">
      <c r="A152" s="2" t="n"/>
      <c r="B152" s="2" t="n"/>
      <c r="C152" s="2" t="n"/>
      <c r="D152" s="2" t="n"/>
      <c r="E152" s="2" t="n"/>
      <c r="F152" s="2" t="n"/>
      <c r="G152" s="2" t="n"/>
    </row>
    <row r="153" ht="14.25" customHeight="1" s="46">
      <c r="A153" s="2" t="n"/>
      <c r="B153" s="2" t="n"/>
      <c r="C153" s="2" t="n"/>
      <c r="D153" s="2" t="n"/>
      <c r="E153" s="2" t="n"/>
      <c r="F153" s="2" t="n"/>
      <c r="G153" s="2" t="n"/>
    </row>
    <row r="154" ht="14.25" customHeight="1" s="46">
      <c r="A154" s="2" t="n"/>
      <c r="B154" s="2" t="n"/>
      <c r="C154" s="2" t="n"/>
      <c r="D154" s="2" t="n"/>
      <c r="E154" s="2" t="n"/>
      <c r="F154" s="2" t="n"/>
      <c r="G154" s="2" t="n"/>
    </row>
    <row r="155" ht="14.25" customHeight="1" s="46">
      <c r="A155" s="2" t="n"/>
      <c r="B155" s="2" t="n"/>
      <c r="C155" s="2" t="n"/>
      <c r="D155" s="2" t="n"/>
      <c r="E155" s="2" t="n"/>
      <c r="F155" s="2" t="n"/>
      <c r="G155" s="2" t="n"/>
    </row>
    <row r="156" ht="14.25" customHeight="1" s="46">
      <c r="A156" s="2" t="n"/>
      <c r="B156" s="2" t="n"/>
      <c r="C156" s="2" t="n"/>
      <c r="D156" s="2" t="n"/>
      <c r="E156" s="2" t="n"/>
      <c r="F156" s="2" t="n"/>
      <c r="G156" s="2" t="n"/>
    </row>
    <row r="157" ht="14.25" customHeight="1" s="46">
      <c r="A157" s="2" t="n"/>
      <c r="B157" s="2" t="n"/>
      <c r="C157" s="2" t="n"/>
      <c r="D157" s="2" t="n"/>
      <c r="E157" s="2" t="n"/>
      <c r="F157" s="2" t="n"/>
      <c r="G157" s="2" t="n"/>
    </row>
    <row r="158" ht="14.25" customHeight="1" s="46">
      <c r="A158" s="2" t="n"/>
      <c r="B158" s="2" t="n"/>
      <c r="C158" s="2" t="n"/>
      <c r="D158" s="2" t="n"/>
      <c r="E158" s="2" t="n"/>
      <c r="F158" s="2" t="n"/>
      <c r="G158" s="2" t="n"/>
    </row>
    <row r="159" ht="14.25" customHeight="1" s="46">
      <c r="A159" s="2" t="n"/>
      <c r="B159" s="2" t="n"/>
      <c r="C159" s="2" t="n"/>
      <c r="D159" s="2" t="n"/>
      <c r="E159" s="2" t="n"/>
      <c r="F159" s="2" t="n"/>
      <c r="G159" s="2" t="n"/>
    </row>
    <row r="160" ht="14.25" customHeight="1" s="46">
      <c r="A160" s="2" t="n"/>
      <c r="B160" s="2" t="n"/>
      <c r="C160" s="2" t="n"/>
      <c r="D160" s="2" t="n"/>
      <c r="E160" s="2" t="n"/>
      <c r="F160" s="2" t="n"/>
      <c r="G160" s="2" t="n"/>
    </row>
    <row r="161" ht="14.25" customHeight="1" s="46">
      <c r="A161" s="2" t="n"/>
      <c r="B161" s="2" t="n"/>
      <c r="C161" s="2" t="n"/>
      <c r="D161" s="2" t="n"/>
      <c r="E161" s="2" t="n"/>
      <c r="F161" s="2" t="n"/>
      <c r="G161" s="2" t="n"/>
    </row>
    <row r="162" ht="14.25" customHeight="1" s="46">
      <c r="A162" s="2" t="n"/>
      <c r="B162" s="2" t="n"/>
      <c r="C162" s="2" t="n"/>
      <c r="D162" s="2" t="n"/>
      <c r="E162" s="2" t="n"/>
      <c r="F162" s="2" t="n"/>
      <c r="G162" s="2" t="n"/>
    </row>
    <row r="163" ht="14.25" customHeight="1" s="46">
      <c r="A163" s="2" t="n"/>
      <c r="B163" s="2" t="n"/>
      <c r="C163" s="2" t="n"/>
      <c r="D163" s="2" t="n"/>
      <c r="E163" s="2" t="n"/>
      <c r="F163" s="2" t="n"/>
      <c r="G163" s="2" t="n"/>
    </row>
    <row r="164" ht="14.25" customHeight="1" s="46">
      <c r="A164" s="2" t="n"/>
      <c r="B164" s="2" t="n"/>
      <c r="C164" s="2" t="n"/>
      <c r="D164" s="2" t="n"/>
      <c r="E164" s="2" t="n"/>
      <c r="F164" s="2" t="n"/>
      <c r="G164" s="2" t="n"/>
    </row>
    <row r="165" ht="14.25" customHeight="1" s="46">
      <c r="A165" s="2" t="n"/>
      <c r="B165" s="2" t="n"/>
      <c r="C165" s="2" t="n"/>
      <c r="D165" s="2" t="n"/>
      <c r="E165" s="2" t="n"/>
      <c r="F165" s="2" t="n"/>
      <c r="G165" s="2" t="n"/>
    </row>
    <row r="166" ht="14.25" customHeight="1" s="46">
      <c r="A166" s="2" t="n"/>
      <c r="B166" s="2" t="n"/>
      <c r="C166" s="2" t="n"/>
      <c r="D166" s="2" t="n"/>
      <c r="E166" s="2" t="n"/>
      <c r="F166" s="2" t="n"/>
      <c r="G166" s="2" t="n"/>
    </row>
    <row r="167" ht="14.25" customHeight="1" s="46">
      <c r="A167" s="2" t="n"/>
      <c r="B167" s="2" t="n"/>
      <c r="C167" s="2" t="n"/>
      <c r="D167" s="2" t="n"/>
      <c r="E167" s="2" t="n"/>
      <c r="F167" s="2" t="n"/>
      <c r="G167" s="2" t="n"/>
    </row>
    <row r="168" ht="14.25" customHeight="1" s="46">
      <c r="A168" s="2" t="n"/>
      <c r="B168" s="2" t="n"/>
      <c r="C168" s="2" t="n"/>
      <c r="D168" s="2" t="n"/>
      <c r="E168" s="2" t="n"/>
      <c r="F168" s="2" t="n"/>
      <c r="G168" s="2" t="n"/>
    </row>
    <row r="169" ht="14.25" customHeight="1" s="46">
      <c r="A169" s="2" t="n"/>
      <c r="B169" s="2" t="n"/>
      <c r="C169" s="2" t="n"/>
      <c r="D169" s="2" t="n"/>
      <c r="E169" s="2" t="n"/>
      <c r="F169" s="2" t="n"/>
      <c r="G169" s="2" t="n"/>
    </row>
    <row r="170" ht="14.25" customHeight="1" s="46">
      <c r="A170" s="2" t="n"/>
      <c r="B170" s="2" t="n"/>
      <c r="C170" s="2" t="n"/>
      <c r="D170" s="2" t="n"/>
      <c r="E170" s="2" t="n"/>
      <c r="F170" s="2" t="n"/>
      <c r="G170" s="2" t="n"/>
    </row>
    <row r="171" ht="14.25" customHeight="1" s="46">
      <c r="A171" s="2" t="n"/>
      <c r="B171" s="2" t="n"/>
      <c r="C171" s="2" t="n"/>
      <c r="D171" s="2" t="n"/>
      <c r="E171" s="2" t="n"/>
      <c r="F171" s="2" t="n"/>
      <c r="G171" s="2" t="n"/>
    </row>
    <row r="172" ht="14.25" customHeight="1" s="46">
      <c r="A172" s="2" t="n"/>
      <c r="B172" s="2" t="n"/>
      <c r="C172" s="2" t="n"/>
      <c r="D172" s="2" t="n"/>
      <c r="E172" s="2" t="n"/>
      <c r="F172" s="2" t="n"/>
      <c r="G172" s="2" t="n"/>
    </row>
    <row r="173" ht="14.25" customHeight="1" s="46">
      <c r="A173" s="2" t="n"/>
      <c r="B173" s="2" t="n"/>
      <c r="C173" s="2" t="n"/>
      <c r="D173" s="2" t="n"/>
      <c r="E173" s="2" t="n"/>
      <c r="F173" s="2" t="n"/>
      <c r="G173" s="2" t="n"/>
    </row>
    <row r="174" ht="14.25" customHeight="1" s="46">
      <c r="A174" s="2" t="n"/>
      <c r="B174" s="2" t="n"/>
      <c r="C174" s="2" t="n"/>
      <c r="D174" s="2" t="n"/>
      <c r="E174" s="2" t="n"/>
      <c r="F174" s="2" t="n"/>
      <c r="G174" s="2" t="n"/>
    </row>
    <row r="175" ht="14.25" customHeight="1" s="46">
      <c r="A175" s="2" t="n"/>
      <c r="B175" s="2" t="n"/>
      <c r="C175" s="2" t="n"/>
      <c r="D175" s="2" t="n"/>
      <c r="E175" s="2" t="n"/>
      <c r="F175" s="2" t="n"/>
      <c r="G175" s="2" t="n"/>
    </row>
    <row r="176" ht="14.25" customHeight="1" s="46">
      <c r="A176" s="2" t="n"/>
      <c r="B176" s="2" t="n"/>
      <c r="C176" s="2" t="n"/>
      <c r="D176" s="2" t="n"/>
      <c r="E176" s="2" t="n"/>
      <c r="F176" s="2" t="n"/>
      <c r="G176" s="2" t="n"/>
    </row>
    <row r="177" ht="14.25" customHeight="1" s="46">
      <c r="A177" s="2" t="n"/>
      <c r="B177" s="2" t="n"/>
      <c r="C177" s="2" t="n"/>
      <c r="D177" s="2" t="n"/>
      <c r="E177" s="2" t="n"/>
      <c r="F177" s="2" t="n"/>
      <c r="G177" s="2" t="n"/>
    </row>
    <row r="178" ht="14.25" customHeight="1" s="46">
      <c r="A178" s="2" t="n"/>
      <c r="B178" s="2" t="n"/>
      <c r="C178" s="2" t="n"/>
      <c r="D178" s="2" t="n"/>
      <c r="E178" s="2" t="n"/>
      <c r="F178" s="2" t="n"/>
      <c r="G178" s="2" t="n"/>
    </row>
    <row r="179" ht="14.25" customHeight="1" s="46">
      <c r="A179" s="2" t="n"/>
      <c r="B179" s="2" t="n"/>
      <c r="C179" s="2" t="n"/>
      <c r="D179" s="2" t="n"/>
      <c r="E179" s="2" t="n"/>
      <c r="F179" s="2" t="n"/>
      <c r="G179" s="2" t="n"/>
    </row>
    <row r="180" ht="14.25" customHeight="1" s="46">
      <c r="A180" s="2" t="n"/>
      <c r="B180" s="2" t="n"/>
      <c r="C180" s="2" t="n"/>
      <c r="D180" s="2" t="n"/>
      <c r="E180" s="2" t="n"/>
      <c r="F180" s="2" t="n"/>
      <c r="G180" s="2" t="n"/>
    </row>
    <row r="181" ht="14.25" customHeight="1" s="46">
      <c r="A181" s="2" t="n"/>
      <c r="B181" s="2" t="n"/>
      <c r="C181" s="2" t="n"/>
      <c r="D181" s="2" t="n"/>
      <c r="E181" s="2" t="n"/>
      <c r="F181" s="2" t="n"/>
      <c r="G181" s="2" t="n"/>
    </row>
    <row r="182" ht="14.25" customHeight="1" s="46">
      <c r="A182" s="2" t="n"/>
      <c r="B182" s="2" t="n"/>
      <c r="C182" s="2" t="n"/>
      <c r="D182" s="2" t="n"/>
      <c r="E182" s="2" t="n"/>
      <c r="F182" s="2" t="n"/>
      <c r="G182" s="2" t="n"/>
    </row>
    <row r="183" ht="14.25" customHeight="1" s="46">
      <c r="A183" s="2" t="n"/>
      <c r="B183" s="2" t="n"/>
      <c r="C183" s="2" t="n"/>
      <c r="D183" s="2" t="n"/>
      <c r="E183" s="2" t="n"/>
      <c r="F183" s="2" t="n"/>
      <c r="G183" s="2" t="n"/>
    </row>
    <row r="184" ht="14.25" customHeight="1" s="46">
      <c r="A184" s="2" t="n"/>
      <c r="B184" s="2" t="n"/>
      <c r="C184" s="2" t="n"/>
      <c r="D184" s="2" t="n"/>
      <c r="E184" s="2" t="n"/>
      <c r="F184" s="2" t="n"/>
      <c r="G184" s="2" t="n"/>
    </row>
    <row r="185" ht="14.25" customHeight="1" s="46">
      <c r="A185" s="2" t="n"/>
      <c r="B185" s="2" t="n"/>
      <c r="C185" s="2" t="n"/>
      <c r="D185" s="2" t="n"/>
      <c r="E185" s="2" t="n"/>
      <c r="F185" s="2" t="n"/>
      <c r="G185" s="2" t="n"/>
    </row>
    <row r="186" ht="14.25" customHeight="1" s="46">
      <c r="A186" s="2" t="n"/>
      <c r="B186" s="2" t="n"/>
      <c r="C186" s="2" t="n"/>
      <c r="D186" s="2" t="n"/>
      <c r="E186" s="2" t="n"/>
      <c r="F186" s="2" t="n"/>
      <c r="G186" s="2" t="n"/>
    </row>
    <row r="187" ht="14.25" customHeight="1" s="46">
      <c r="A187" s="2" t="n"/>
      <c r="B187" s="2" t="n"/>
      <c r="C187" s="2" t="n"/>
      <c r="D187" s="2" t="n"/>
      <c r="E187" s="2" t="n"/>
      <c r="F187" s="2" t="n"/>
      <c r="G187" s="2" t="n"/>
    </row>
    <row r="188" ht="14.25" customHeight="1" s="46">
      <c r="A188" s="2" t="n"/>
      <c r="B188" s="2" t="n"/>
      <c r="C188" s="2" t="n"/>
      <c r="D188" s="2" t="n"/>
      <c r="E188" s="2" t="n"/>
      <c r="F188" s="2" t="n"/>
      <c r="G188" s="2" t="n"/>
    </row>
    <row r="189" ht="14.25" customHeight="1" s="46">
      <c r="A189" s="2" t="n"/>
      <c r="B189" s="2" t="n"/>
      <c r="C189" s="2" t="n"/>
      <c r="D189" s="2" t="n"/>
      <c r="E189" s="2" t="n"/>
      <c r="F189" s="2" t="n"/>
      <c r="G189" s="2" t="n"/>
    </row>
    <row r="190" ht="14.25" customHeight="1" s="46">
      <c r="A190" s="2" t="n"/>
      <c r="B190" s="2" t="n"/>
      <c r="C190" s="2" t="n"/>
      <c r="D190" s="2" t="n"/>
      <c r="E190" s="2" t="n"/>
      <c r="F190" s="2" t="n"/>
      <c r="G190" s="2" t="n"/>
    </row>
    <row r="191" ht="14.25" customHeight="1" s="46">
      <c r="A191" s="2" t="n"/>
      <c r="B191" s="2" t="n"/>
      <c r="C191" s="2" t="n"/>
      <c r="D191" s="2" t="n"/>
      <c r="E191" s="2" t="n"/>
      <c r="F191" s="2" t="n"/>
      <c r="G191" s="2" t="n"/>
    </row>
    <row r="192" ht="14.25" customHeight="1" s="46">
      <c r="A192" s="2" t="n"/>
      <c r="B192" s="2" t="n"/>
      <c r="C192" s="2" t="n"/>
      <c r="D192" s="2" t="n"/>
      <c r="E192" s="2" t="n"/>
      <c r="F192" s="2" t="n"/>
      <c r="G192" s="2" t="n"/>
    </row>
    <row r="193" ht="14.25" customHeight="1" s="46">
      <c r="A193" s="2" t="n"/>
      <c r="B193" s="2" t="n"/>
      <c r="C193" s="2" t="n"/>
      <c r="D193" s="2" t="n"/>
      <c r="E193" s="2" t="n"/>
      <c r="F193" s="2" t="n"/>
      <c r="G193" s="2" t="n"/>
    </row>
    <row r="194" ht="14.25" customHeight="1" s="46">
      <c r="A194" s="2" t="n"/>
      <c r="B194" s="2" t="n"/>
      <c r="C194" s="2" t="n"/>
      <c r="D194" s="2" t="n"/>
      <c r="E194" s="2" t="n"/>
      <c r="F194" s="2" t="n"/>
      <c r="G194" s="2" t="n"/>
    </row>
    <row r="195" ht="14.25" customHeight="1" s="46">
      <c r="A195" s="2" t="n"/>
      <c r="B195" s="2" t="n"/>
      <c r="C195" s="2" t="n"/>
      <c r="D195" s="2" t="n"/>
      <c r="E195" s="2" t="n"/>
      <c r="F195" s="2" t="n"/>
      <c r="G195" s="2" t="n"/>
    </row>
    <row r="196" ht="14.25" customHeight="1" s="46">
      <c r="A196" s="2" t="n"/>
      <c r="B196" s="2" t="n"/>
      <c r="C196" s="2" t="n"/>
      <c r="D196" s="2" t="n"/>
      <c r="E196" s="2" t="n"/>
      <c r="F196" s="2" t="n"/>
      <c r="G196" s="2" t="n"/>
    </row>
    <row r="197" ht="14.25" customHeight="1" s="46">
      <c r="A197" s="2" t="n"/>
      <c r="B197" s="2" t="n"/>
      <c r="C197" s="2" t="n"/>
      <c r="D197" s="2" t="n"/>
      <c r="E197" s="2" t="n"/>
      <c r="F197" s="2" t="n"/>
      <c r="G197" s="2" t="n"/>
    </row>
    <row r="198" ht="14.25" customHeight="1" s="46">
      <c r="A198" s="2" t="n"/>
      <c r="B198" s="2" t="n"/>
      <c r="C198" s="2" t="n"/>
      <c r="D198" s="2" t="n"/>
      <c r="E198" s="2" t="n"/>
      <c r="F198" s="2" t="n"/>
      <c r="G198" s="2" t="n"/>
    </row>
    <row r="199" ht="14.25" customHeight="1" s="46">
      <c r="A199" s="2" t="n"/>
      <c r="B199" s="2" t="n"/>
      <c r="C199" s="2" t="n"/>
      <c r="D199" s="2" t="n"/>
      <c r="E199" s="2" t="n"/>
      <c r="F199" s="2" t="n"/>
      <c r="G199" s="2" t="n"/>
    </row>
    <row r="200" ht="14.25" customHeight="1" s="46">
      <c r="A200" s="2" t="n"/>
      <c r="B200" s="2" t="n"/>
      <c r="C200" s="2" t="n"/>
      <c r="D200" s="2" t="n"/>
      <c r="E200" s="2" t="n"/>
      <c r="F200" s="2" t="n"/>
      <c r="G200" s="2" t="n"/>
    </row>
    <row r="201" ht="14.25" customHeight="1" s="46">
      <c r="A201" s="2" t="n"/>
      <c r="B201" s="2" t="n"/>
      <c r="C201" s="2" t="n"/>
      <c r="D201" s="2" t="n"/>
      <c r="E201" s="2" t="n"/>
      <c r="F201" s="2" t="n"/>
      <c r="G201" s="2" t="n"/>
    </row>
    <row r="202" ht="14.25" customHeight="1" s="46">
      <c r="A202" s="2" t="n"/>
      <c r="B202" s="2" t="n"/>
      <c r="C202" s="2" t="n"/>
      <c r="D202" s="2" t="n"/>
      <c r="E202" s="2" t="n"/>
      <c r="F202" s="2" t="n"/>
      <c r="G202" s="2" t="n"/>
    </row>
    <row r="203" ht="14.25" customHeight="1" s="46">
      <c r="A203" s="2" t="n"/>
      <c r="B203" s="2" t="n"/>
      <c r="C203" s="2" t="n"/>
      <c r="D203" s="2" t="n"/>
      <c r="E203" s="2" t="n"/>
      <c r="F203" s="2" t="n"/>
      <c r="G203" s="2" t="n"/>
    </row>
    <row r="204" ht="14.25" customHeight="1" s="46">
      <c r="A204" s="2" t="n"/>
      <c r="B204" s="2" t="n"/>
      <c r="C204" s="2" t="n"/>
      <c r="D204" s="2" t="n"/>
      <c r="E204" s="2" t="n"/>
      <c r="F204" s="2" t="n"/>
      <c r="G204" s="2" t="n"/>
    </row>
    <row r="205" ht="14.25" customHeight="1" s="46">
      <c r="A205" s="2" t="n"/>
      <c r="B205" s="2" t="n"/>
      <c r="C205" s="2" t="n"/>
      <c r="D205" s="2" t="n"/>
      <c r="E205" s="2" t="n"/>
      <c r="F205" s="2" t="n"/>
      <c r="G205" s="2" t="n"/>
    </row>
    <row r="206" ht="14.25" customHeight="1" s="46">
      <c r="A206" s="2" t="n"/>
      <c r="B206" s="2" t="n"/>
      <c r="C206" s="2" t="n"/>
      <c r="D206" s="2" t="n"/>
      <c r="E206" s="2" t="n"/>
      <c r="F206" s="2" t="n"/>
      <c r="G206" s="2" t="n"/>
    </row>
    <row r="207" ht="14.25" customHeight="1" s="46">
      <c r="A207" s="2" t="n"/>
      <c r="B207" s="2" t="n"/>
      <c r="C207" s="2" t="n"/>
      <c r="D207" s="2" t="n"/>
      <c r="E207" s="2" t="n"/>
      <c r="F207" s="2" t="n"/>
      <c r="G207" s="2" t="n"/>
    </row>
    <row r="208" ht="14.25" customHeight="1" s="46">
      <c r="A208" s="2" t="n"/>
      <c r="B208" s="2" t="n"/>
      <c r="C208" s="2" t="n"/>
      <c r="D208" s="2" t="n"/>
      <c r="E208" s="2" t="n"/>
      <c r="F208" s="2" t="n"/>
      <c r="G208" s="2" t="n"/>
    </row>
    <row r="209" ht="14.25" customHeight="1" s="46">
      <c r="A209" s="2" t="n"/>
      <c r="B209" s="2" t="n"/>
      <c r="C209" s="2" t="n"/>
      <c r="D209" s="2" t="n"/>
      <c r="E209" s="2" t="n"/>
      <c r="F209" s="2" t="n"/>
      <c r="G209" s="2" t="n"/>
    </row>
    <row r="210" ht="14.25" customHeight="1" s="46">
      <c r="A210" s="2" t="n"/>
      <c r="B210" s="2" t="n"/>
      <c r="C210" s="2" t="n"/>
      <c r="D210" s="2" t="n"/>
      <c r="E210" s="2" t="n"/>
      <c r="F210" s="2" t="n"/>
      <c r="G210" s="2" t="n"/>
    </row>
    <row r="211" ht="14.25" customHeight="1" s="46">
      <c r="A211" s="2" t="n"/>
      <c r="B211" s="2" t="n"/>
      <c r="C211" s="2" t="n"/>
      <c r="D211" s="2" t="n"/>
      <c r="E211" s="2" t="n"/>
      <c r="F211" s="2" t="n"/>
      <c r="G211" s="2" t="n"/>
    </row>
    <row r="212" ht="14.25" customHeight="1" s="46">
      <c r="A212" s="2" t="n"/>
      <c r="B212" s="2" t="n"/>
      <c r="C212" s="2" t="n"/>
      <c r="D212" s="2" t="n"/>
      <c r="E212" s="2" t="n"/>
      <c r="F212" s="2" t="n"/>
      <c r="G212" s="2" t="n"/>
    </row>
    <row r="213" ht="14.25" customHeight="1" s="46">
      <c r="A213" s="2" t="n"/>
      <c r="B213" s="2" t="n"/>
      <c r="C213" s="2" t="n"/>
      <c r="D213" s="2" t="n"/>
      <c r="E213" s="2" t="n"/>
      <c r="F213" s="2" t="n"/>
      <c r="G213" s="2" t="n"/>
    </row>
    <row r="214" ht="14.25" customHeight="1" s="46">
      <c r="A214" s="2" t="n"/>
      <c r="B214" s="2" t="n"/>
      <c r="C214" s="2" t="n"/>
      <c r="D214" s="2" t="n"/>
      <c r="E214" s="2" t="n"/>
      <c r="F214" s="2" t="n"/>
      <c r="G214" s="2" t="n"/>
    </row>
    <row r="215" ht="14.25" customHeight="1" s="46">
      <c r="A215" s="2" t="n"/>
      <c r="B215" s="2" t="n"/>
      <c r="C215" s="2" t="n"/>
      <c r="D215" s="2" t="n"/>
      <c r="E215" s="2" t="n"/>
      <c r="F215" s="2" t="n"/>
      <c r="G215" s="2" t="n"/>
    </row>
    <row r="216" ht="14.25" customHeight="1" s="46">
      <c r="A216" s="2" t="n"/>
      <c r="B216" s="2" t="n"/>
      <c r="C216" s="2" t="n"/>
      <c r="D216" s="2" t="n"/>
      <c r="E216" s="2" t="n"/>
      <c r="F216" s="2" t="n"/>
      <c r="G216" s="2" t="n"/>
    </row>
    <row r="217" ht="14.25" customHeight="1" s="46">
      <c r="A217" s="2" t="n"/>
      <c r="B217" s="2" t="n"/>
      <c r="C217" s="2" t="n"/>
      <c r="D217" s="2" t="n"/>
      <c r="E217" s="2" t="n"/>
      <c r="F217" s="2" t="n"/>
      <c r="G217" s="2" t="n"/>
    </row>
    <row r="218" ht="14.25" customHeight="1" s="46">
      <c r="A218" s="2" t="n"/>
      <c r="B218" s="2" t="n"/>
      <c r="C218" s="2" t="n"/>
      <c r="D218" s="2" t="n"/>
      <c r="E218" s="2" t="n"/>
      <c r="F218" s="2" t="n"/>
      <c r="G218" s="2" t="n"/>
    </row>
    <row r="219" ht="14.25" customHeight="1" s="46">
      <c r="A219" s="2" t="n"/>
      <c r="B219" s="2" t="n"/>
      <c r="C219" s="2" t="n"/>
      <c r="D219" s="2" t="n"/>
      <c r="E219" s="2" t="n"/>
      <c r="F219" s="2" t="n"/>
      <c r="G219" s="2" t="n"/>
    </row>
    <row r="220" ht="14.25" customHeight="1" s="46">
      <c r="A220" s="2" t="n"/>
      <c r="B220" s="2" t="n"/>
      <c r="C220" s="2" t="n"/>
      <c r="D220" s="2" t="n"/>
      <c r="E220" s="2" t="n"/>
      <c r="F220" s="2" t="n"/>
      <c r="G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L284"/>
  <sheetViews>
    <sheetView workbookViewId="0">
      <pane ySplit="4" topLeftCell="A5" activePane="bottomLeft" state="frozen"/>
      <selection pane="bottomLeft" activeCell="B6" sqref="B6"/>
    </sheetView>
  </sheetViews>
  <sheetFormatPr baseColWidth="8" defaultColWidth="14.43" defaultRowHeight="15" customHeight="1"/>
  <cols>
    <col width="12" customWidth="1" style="46" min="1" max="1"/>
    <col width="22" customWidth="1" style="46" min="2" max="2"/>
    <col width="10" customWidth="1" style="46" min="3" max="3"/>
    <col width="16" customWidth="1" style="46" min="4" max="4"/>
    <col width="46" customWidth="1" style="46" min="5" max="5"/>
    <col width="16" customWidth="1" style="46" min="6" max="6"/>
    <col width="22" customWidth="1" style="46" min="7" max="7"/>
    <col width="9" customWidth="1" style="46" min="8" max="8"/>
    <col width="20" customWidth="1" style="46" min="9" max="9"/>
    <col width="36" customWidth="1" style="46" min="10" max="10"/>
    <col width="24" customWidth="1" style="46" min="11" max="11"/>
    <col width="36" customWidth="1" style="46" min="12" max="12"/>
  </cols>
  <sheetData>
    <row r="1" ht="18" customHeight="1" s="46">
      <c r="A1" s="1" t="inlineStr">
        <is>
          <t>Step 4: upgrades, extensions, choices and options for every line</t>
        </is>
      </c>
      <c r="B1" s="2" t="n"/>
      <c r="C1" s="2" t="n"/>
      <c r="D1" s="2" t="n"/>
      <c r="E1" s="2" t="n"/>
      <c r="F1" s="2" t="n"/>
      <c r="G1" s="2" t="n"/>
      <c r="H1" s="2" t="n"/>
      <c r="I1" s="2" t="n"/>
      <c r="J1" s="2" t="n"/>
      <c r="K1" s="2" t="n"/>
      <c r="L1" s="2" t="n"/>
    </row>
    <row r="2" ht="14.25" customHeight="1" s="46">
      <c r="A2" s="3" t="inlineStr">
        <is>
          <t>Costs on the new scale (2 Costs); knowledge in blue. Each entry changes how the line works, not just how much it makes.</t>
        </is>
      </c>
      <c r="B2" s="2" t="n"/>
      <c r="C2" s="2" t="n"/>
      <c r="D2" s="2" t="n"/>
      <c r="E2" s="2" t="n"/>
      <c r="F2" s="2" t="n"/>
      <c r="G2" s="2" t="n"/>
      <c r="H2" s="2" t="n"/>
      <c r="I2" s="2" t="n"/>
      <c r="J2" s="2" t="n"/>
      <c r="K2" s="2" t="n"/>
      <c r="L2" s="2" t="n"/>
    </row>
    <row r="3" ht="14.25" customHeight="1" s="46">
      <c r="A3" s="2" t="n"/>
      <c r="B3" s="2" t="n"/>
      <c r="C3" s="2" t="n"/>
      <c r="D3" s="2" t="n"/>
      <c r="E3" s="2" t="n"/>
      <c r="F3" s="2" t="n"/>
      <c r="G3" s="2" t="n"/>
      <c r="H3" s="2" t="n"/>
      <c r="I3" s="2" t="n"/>
      <c r="J3" s="2" t="n"/>
      <c r="K3" s="2" t="n"/>
      <c r="L3" s="2" t="n"/>
    </row>
    <row r="4" ht="25.5" customHeight="1" s="46">
      <c r="A4" s="9" t="inlineStr">
        <is>
          <t>Line</t>
        </is>
      </c>
      <c r="B4" s="9" t="inlineStr">
        <is>
          <t>Name</t>
        </is>
      </c>
      <c r="C4" s="9" t="inlineStr">
        <is>
          <t>Kind</t>
        </is>
      </c>
      <c r="D4" s="9" t="inlineStr">
        <is>
          <t>Of</t>
        </is>
      </c>
      <c r="E4" s="9" t="inlineStr">
        <is>
          <t>What it changes</t>
        </is>
      </c>
      <c r="F4" s="9" t="inlineStr">
        <is>
          <t>Runs on</t>
        </is>
      </c>
      <c r="G4" s="9" t="inlineStr">
        <is>
          <t>Cost</t>
        </is>
      </c>
      <c r="H4" s="9" t="inlineStr">
        <is>
          <t>Knowledge</t>
        </is>
      </c>
      <c r="I4" s="9" t="inlineStr">
        <is>
          <t>Condition</t>
        </is>
      </c>
      <c r="J4" s="9" t="inlineStr">
        <is>
          <t>Why (the decision)</t>
        </is>
      </c>
      <c r="K4" s="9" t="inlineStr">
        <is>
          <t>Your notes</t>
        </is>
      </c>
      <c r="L4" s="34" t="inlineStr">
        <is>
          <t>My notes</t>
        </is>
      </c>
    </row>
    <row r="5" ht="13.5" customHeight="1" s="46">
      <c r="A5" s="10" t="inlineStr">
        <is>
          <t>Timber</t>
        </is>
      </c>
      <c r="B5" s="10" t="n"/>
      <c r="C5" s="10" t="n"/>
      <c r="D5" s="10" t="n"/>
      <c r="E5" s="10" t="n"/>
      <c r="F5" s="10" t="n"/>
      <c r="G5" s="10" t="n"/>
      <c r="H5" s="10" t="n"/>
      <c r="I5" s="10" t="n"/>
      <c r="J5" s="10" t="n"/>
      <c r="K5" s="10" t="n"/>
      <c r="L5" s="2" t="n"/>
    </row>
    <row r="6" ht="69.75" customHeight="1" s="46">
      <c r="A6" s="7" t="inlineStr">
        <is>
          <t>Timber</t>
        </is>
      </c>
      <c r="B6" s="7" t="inlineStr">
        <is>
          <t>Coppice or high forest</t>
        </is>
      </c>
      <c r="C6" s="7" t="inlineStr">
        <is>
          <t>Choice</t>
        </is>
      </c>
      <c r="D6" s="7" t="inlineStr">
        <is>
          <t>town</t>
        </is>
      </c>
      <c r="E6" s="7" t="inlineStr">
        <is>
          <t>Coppice: foresters' woods regrow twice as fast, but woodcutters fell poles (firewood half again, timber a third less). High forest: timber a fifth more, regrowth as today.</t>
        </is>
      </c>
      <c r="F6" s="7" t="n"/>
      <c r="G6" s="7" t="n"/>
      <c r="H6" s="11" t="n">
        <v>6</v>
      </c>
      <c r="I6" s="7" t="inlineStr">
        <is>
          <t>200 timber felled</t>
        </is>
      </c>
      <c r="J6" s="7" t="inlineStr">
        <is>
          <t>A fuel town or a building town.</t>
        </is>
      </c>
      <c r="K6" s="45" t="n"/>
      <c r="L6" s="2" t="n"/>
    </row>
    <row r="7" ht="69.75" customHeight="1" s="46">
      <c r="A7" s="7" t="inlineStr">
        <is>
          <t>Timber</t>
        </is>
      </c>
      <c r="B7" s="7" t="inlineStr">
        <is>
          <t>Large woodcutters lodge</t>
        </is>
      </c>
      <c r="C7" s="7" t="inlineStr">
        <is>
          <t>Upgrade</t>
        </is>
      </c>
      <c r="D7" s="7" t="inlineStr">
        <is>
          <t>Woodcutters</t>
        </is>
      </c>
      <c r="E7" s="7" t="inlineStr">
        <is>
          <t>2 more working spaces</t>
        </is>
      </c>
      <c r="F7" s="7" t="n"/>
      <c r="G7" s="7" t="inlineStr">
        <is>
          <t>6 timber</t>
        </is>
      </c>
      <c r="H7" s="11" t="n">
        <v>4</v>
      </c>
      <c r="I7" s="7" t="inlineStr">
        <is>
          <t>100 timber felled</t>
        </is>
      </c>
      <c r="J7" s="7" t="n"/>
      <c r="K7" s="45" t="n"/>
      <c r="L7" s="2" t="n"/>
    </row>
    <row r="8" ht="37.5" customHeight="1" s="46">
      <c r="A8" s="7" t="inlineStr">
        <is>
          <t>Timber</t>
        </is>
      </c>
      <c r="B8" s="7" t="inlineStr">
        <is>
          <t>Ox tool-shed</t>
        </is>
      </c>
      <c r="C8" s="7" t="inlineStr">
        <is>
          <t>Extension</t>
        </is>
      </c>
      <c r="D8" s="7" t="inlineStr">
        <is>
          <t>Woodcutters</t>
        </is>
      </c>
      <c r="E8" s="7" t="inlineStr">
        <is>
          <t>Remove penalties for moving through the woods and reduce carrying timber</t>
        </is>
      </c>
      <c r="F8" s="7" t="inlineStr">
        <is>
          <t>0.5 tool a year</t>
        </is>
      </c>
      <c r="G8" s="7" t="inlineStr">
        <is>
          <t>2 timber, 2 planks, 1 tile</t>
        </is>
      </c>
      <c r="H8" s="11" t="n">
        <v>4</v>
      </c>
      <c r="I8" s="7" t="inlineStr">
        <is>
          <t>150 timber felled</t>
        </is>
      </c>
      <c r="J8" s="7" t="n"/>
      <c r="K8" s="45" t="inlineStr">
        <is>
          <t>Does not house the ox, still need stables</t>
        </is>
      </c>
      <c r="L8" s="2" t="n"/>
    </row>
    <row r="9" ht="27.75" customHeight="1" s="46">
      <c r="A9" s="7" t="inlineStr">
        <is>
          <t>Timber</t>
        </is>
      </c>
      <c r="B9" s="7" t="inlineStr">
        <is>
          <t>Water sawmill</t>
        </is>
      </c>
      <c r="C9" s="13" t="inlineStr">
        <is>
          <t>Building</t>
        </is>
      </c>
      <c r="D9" s="7" t="inlineStr">
        <is>
          <t>Sawmill</t>
        </is>
      </c>
      <c r="E9" s="7" t="inlineStr">
        <is>
          <t>Beside water: one timber makes one plank (today four make three).</t>
        </is>
      </c>
      <c r="F9" s="7" t="inlineStr">
        <is>
          <t>2 wood parts a year</t>
        </is>
      </c>
      <c r="G9" s="7" t="inlineStr">
        <is>
          <t>6 planks, 4 wood parts, 4 stone</t>
        </is>
      </c>
      <c r="H9" s="11" t="n">
        <v>8</v>
      </c>
      <c r="I9" s="7" t="n"/>
      <c r="J9" s="7" t="inlineStr">
        <is>
          <t>Saves timber once planks are the bottleneck; ties the sawmill to the river.</t>
        </is>
      </c>
      <c r="K9" s="45" t="inlineStr">
        <is>
          <t>This would work better as a unlockable building</t>
        </is>
      </c>
      <c r="L9" s="7" t="inlineStr">
        <is>
          <t>Now a building of its own (your note), unlocked by knowledge.</t>
        </is>
      </c>
    </row>
    <row r="10" ht="27.75" customHeight="1" s="46">
      <c r="A10" s="7" t="inlineStr">
        <is>
          <t>Timber</t>
        </is>
      </c>
      <c r="B10" s="7" t="inlineStr">
        <is>
          <t>Lathe</t>
        </is>
      </c>
      <c r="C10" s="7" t="inlineStr">
        <is>
          <t>Extension</t>
        </is>
      </c>
      <c r="D10" s="7" t="inlineStr">
        <is>
          <t>Carpenter</t>
        </is>
      </c>
      <c r="E10" s="7" t="inlineStr">
        <is>
          <t>Wood parts from two planks instead of three.</t>
        </is>
      </c>
      <c r="F10" s="7" t="inlineStr">
        <is>
          <t>1 tool a year</t>
        </is>
      </c>
      <c r="G10" s="7" t="inlineStr">
        <is>
          <t>4 planks, 2 tools, 1 tile</t>
        </is>
      </c>
      <c r="H10" s="11" t="n">
        <v>6</v>
      </c>
      <c r="I10" s="26" t="inlineStr">
        <is>
          <t>100 wood parts made</t>
        </is>
      </c>
      <c r="J10" s="7" t="inlineStr">
        <is>
          <t>Cheaper upkeep for every mill in town.</t>
        </is>
      </c>
      <c r="K10" s="45" t="n"/>
      <c r="L10" s="2" t="n"/>
    </row>
    <row r="11" ht="27.75" customHeight="1" s="46">
      <c r="A11" s="7" t="inlineStr">
        <is>
          <t>Timber</t>
        </is>
      </c>
      <c r="B11" s="7" t="inlineStr">
        <is>
          <t>Tree nursery</t>
        </is>
      </c>
      <c r="C11" s="7" t="inlineStr">
        <is>
          <t>Extension</t>
        </is>
      </c>
      <c r="D11" s="7" t="inlineStr">
        <is>
          <t>Forester</t>
        </is>
      </c>
      <c r="E11" s="7" t="inlineStr">
        <is>
          <t>Also raises saplings: orchards in its reach bear a season sooner.</t>
        </is>
      </c>
      <c r="F11" s="7" t="n"/>
      <c r="G11" s="7" t="inlineStr">
        <is>
          <t>4 timber, 2 planks, no tile, just add props in the building</t>
        </is>
      </c>
      <c r="H11" s="11" t="n">
        <v>4</v>
      </c>
      <c r="I11" s="26" t="inlineStr">
        <is>
          <t>50 trees planted</t>
        </is>
      </c>
      <c r="J11" s="7" t="inlineStr">
        <is>
          <t>Links the woods to the orchards.</t>
        </is>
      </c>
      <c r="K11" s="45" t="n"/>
      <c r="L11" s="2" t="n"/>
    </row>
    <row r="12" ht="13.5" customHeight="1" s="46">
      <c r="A12" s="10" t="inlineStr">
        <is>
          <t>Stone &amp; earth</t>
        </is>
      </c>
      <c r="B12" s="10" t="n"/>
      <c r="C12" s="10" t="n"/>
      <c r="D12" s="10" t="n"/>
      <c r="E12" s="10" t="n"/>
      <c r="F12" s="10" t="n"/>
      <c r="G12" s="10" t="n"/>
      <c r="H12" s="10" t="n"/>
      <c r="I12" s="10" t="n"/>
      <c r="J12" s="10" t="n"/>
      <c r="K12" s="10" t="n"/>
      <c r="L12" s="2" t="n"/>
    </row>
    <row r="13" ht="27.75" customHeight="1" s="46">
      <c r="A13" s="7" t="inlineStr">
        <is>
          <t>Stone &amp; earth</t>
        </is>
      </c>
      <c r="B13" s="7" t="inlineStr">
        <is>
          <t>Quarry crane</t>
        </is>
      </c>
      <c r="C13" s="7" t="inlineStr">
        <is>
          <t>Extension</t>
        </is>
      </c>
      <c r="D13" s="7" t="inlineStr">
        <is>
          <t>Quarry</t>
        </is>
      </c>
      <c r="E13" s="7" t="inlineStr">
        <is>
          <t>One more place, and one stone in five comes out ready-dressed.</t>
        </is>
      </c>
      <c r="F13" s="7" t="inlineStr">
        <is>
          <t>1 wood part a year</t>
        </is>
      </c>
      <c r="G13" s="7" t="inlineStr">
        <is>
          <t>4 planks, 2 wood parts</t>
        </is>
      </c>
      <c r="H13" s="11" t="n">
        <v>8</v>
      </c>
      <c r="I13" s="7" t="inlineStr">
        <is>
          <t>50 stone gathered</t>
        </is>
      </c>
      <c r="J13" s="7" t="inlineStr">
        <is>
          <t>A little dressed stone without a mason.</t>
        </is>
      </c>
      <c r="K13" s="45" t="n"/>
      <c r="L13" s="2" t="n"/>
    </row>
    <row r="14" ht="27.75" customHeight="1" s="46">
      <c r="A14" s="7" t="inlineStr">
        <is>
          <t>Stone &amp; earth</t>
        </is>
      </c>
      <c r="B14" s="7" t="inlineStr">
        <is>
          <t>Stone street</t>
        </is>
      </c>
      <c r="C14" s="7" t="inlineStr">
        <is>
          <t>Upgrade</t>
        </is>
      </c>
      <c r="D14" s="7" t="inlineStr">
        <is>
          <t>Dirt path</t>
        </is>
      </c>
      <c r="E14" s="7" t="inlineStr">
        <is>
          <t>same as before</t>
        </is>
      </c>
      <c r="F14" s="7" t="n"/>
      <c r="G14" s="7" t="inlineStr">
        <is>
          <t>2 stone/tile</t>
        </is>
      </c>
      <c r="H14" s="11" t="n">
        <v>2</v>
      </c>
      <c r="I14" s="7" t="n"/>
      <c r="J14" s="7" t="n"/>
      <c r="K14" s="45" t="n"/>
      <c r="L14" s="2" t="n"/>
    </row>
    <row r="15" ht="27.75" customHeight="1" s="46">
      <c r="A15" s="7" t="inlineStr">
        <is>
          <t>Stone &amp; earth</t>
        </is>
      </c>
      <c r="B15" s="7" t="inlineStr">
        <is>
          <t>Coblestone street</t>
        </is>
      </c>
      <c r="C15" s="7" t="inlineStr">
        <is>
          <t>Upgrade</t>
        </is>
      </c>
      <c r="D15" s="7" t="inlineStr">
        <is>
          <t>Dirt path</t>
        </is>
      </c>
      <c r="E15" s="7" t="inlineStr">
        <is>
          <t>same as before</t>
        </is>
      </c>
      <c r="F15" s="7" t="n"/>
      <c r="G15" s="7" t="inlineStr">
        <is>
          <t>2 dressed stone/tile</t>
        </is>
      </c>
      <c r="H15" s="11" t="n">
        <v>4</v>
      </c>
      <c r="I15" s="7" t="inlineStr">
        <is>
          <t>Stone street unlocked</t>
        </is>
      </c>
      <c r="J15" s="7" t="n"/>
      <c r="K15" s="45" t="n"/>
      <c r="L15" s="7" t="inlineStr">
        <is>
          <t>Roads move behind knowledge: fine with G6.</t>
        </is>
      </c>
    </row>
    <row r="16" ht="27.75" customHeight="1" s="46">
      <c r="A16" s="7" t="inlineStr">
        <is>
          <t>Stone &amp; earth</t>
        </is>
      </c>
      <c r="B16" s="7" t="inlineStr">
        <is>
          <t>Mason's lodge</t>
        </is>
      </c>
      <c r="C16" s="7" t="inlineStr">
        <is>
          <t>Upgrade</t>
        </is>
      </c>
      <c r="D16" s="7" t="inlineStr">
        <is>
          <t>Stonemason</t>
        </is>
      </c>
      <c r="E16" s="7" t="inlineStr">
        <is>
          <t>The masons also work on Great Works in reach: they rise a fifth faster.</t>
        </is>
      </c>
      <c r="F16" s="7" t="n"/>
      <c r="G16" s="7" t="inlineStr">
        <is>
          <t>2 dressed stone, 2 tiles</t>
        </is>
      </c>
      <c r="H16" s="11" t="n">
        <v>8</v>
      </c>
      <c r="I16" s="7" t="inlineStr">
        <is>
          <t>a Great Work begun</t>
        </is>
      </c>
      <c r="J16" s="7" t="inlineStr">
        <is>
          <t>Where to put the masons.</t>
        </is>
      </c>
      <c r="K16" s="45" t="n"/>
      <c r="L16" s="2" t="n"/>
    </row>
    <row r="17" ht="13.5" customHeight="1" s="46">
      <c r="A17" s="7" t="inlineStr">
        <is>
          <t>Stone &amp; earth</t>
        </is>
      </c>
      <c r="B17" s="7" t="inlineStr">
        <is>
          <t>Second firing chamber</t>
        </is>
      </c>
      <c r="C17" s="7" t="inlineStr">
        <is>
          <t>Extension</t>
        </is>
      </c>
      <c r="D17" s="7" t="inlineStr">
        <is>
          <t>Kiln</t>
        </is>
      </c>
      <c r="E17" s="7" t="inlineStr">
        <is>
          <t>Tiles on half the fuel.</t>
        </is>
      </c>
      <c r="F17" s="7" t="n"/>
      <c r="G17" s="7" t="inlineStr">
        <is>
          <t>6 stone, 2 tiles</t>
        </is>
      </c>
      <c r="H17" s="11" t="n">
        <v>5</v>
      </c>
      <c r="I17" s="26" t="inlineStr">
        <is>
          <t>100 tiles fired</t>
        </is>
      </c>
      <c r="J17" s="7" t="inlineStr">
        <is>
          <t>Fuel or tiles.</t>
        </is>
      </c>
      <c r="K17" s="45" t="n"/>
      <c r="L17" s="2" t="n"/>
    </row>
    <row r="18" ht="42" customHeight="1" s="46">
      <c r="A18" s="7" t="inlineStr">
        <is>
          <t>Stone &amp; earth</t>
        </is>
      </c>
      <c r="B18" s="7" t="inlineStr">
        <is>
          <t>Limewash</t>
        </is>
      </c>
      <c r="C18" s="7" t="inlineStr">
        <is>
          <t>Town option</t>
        </is>
      </c>
      <c r="D18" s="7" t="inlineStr">
        <is>
          <t>Lime Kiln</t>
        </is>
      </c>
      <c r="E18" s="7" t="inlineStr">
        <is>
          <t>Homes may be limewashed white: +1 beauty to the home itself; each painted home takes 0.5 mortar a year.</t>
        </is>
      </c>
      <c r="F18" s="7" t="inlineStr">
        <is>
          <t>0.5 mortar a year</t>
        </is>
      </c>
      <c r="G18" s="7" t="n"/>
      <c r="H18" s="11" t="n">
        <v>4</v>
      </c>
      <c r="I18" s="7" t="n"/>
      <c r="J18" s="7" t="inlineStr">
        <is>
          <t>A white town, at a running cost.</t>
        </is>
      </c>
      <c r="K18" s="45" t="n"/>
      <c r="L18" s="2" t="n"/>
    </row>
    <row r="19" ht="13.5" customHeight="1" s="46">
      <c r="A19" s="10" t="inlineStr">
        <is>
          <t>Grain &amp; farming</t>
        </is>
      </c>
      <c r="B19" s="10" t="n"/>
      <c r="C19" s="10" t="n"/>
      <c r="D19" s="10" t="n"/>
      <c r="E19" s="10" t="n"/>
      <c r="F19" s="10" t="n"/>
      <c r="G19" s="10" t="n"/>
      <c r="H19" s="10" t="n"/>
      <c r="I19" s="10" t="n"/>
      <c r="J19" s="10" t="n"/>
      <c r="K19" s="10" t="n"/>
      <c r="L19" s="2" t="n"/>
    </row>
    <row r="20" ht="42" customHeight="1" s="46">
      <c r="A20" s="7" t="inlineStr">
        <is>
          <t>Grain &amp; farming</t>
        </is>
      </c>
      <c r="B20" s="7" t="inlineStr">
        <is>
          <t>Rye</t>
        </is>
      </c>
      <c r="C20" s="7" t="inlineStr">
        <is>
          <t>Variant</t>
        </is>
      </c>
      <c r="D20" s="7" t="inlineStr">
        <is>
          <t>Fields</t>
        </is>
      </c>
      <c r="E20" s="7" t="inlineStr">
        <is>
          <t>Grows on poor soil as well as rich, but yields half as much as wheat; milled like wheat.</t>
        </is>
      </c>
      <c r="F20" s="7" t="n"/>
      <c r="G20" s="7" t="n"/>
      <c r="H20" s="11" t="n">
        <v>3</v>
      </c>
      <c r="I20" s="7" t="n"/>
      <c r="J20" s="7" t="inlineStr">
        <is>
          <t>A way to farm bad land.</t>
        </is>
      </c>
      <c r="K20" s="45" t="n"/>
      <c r="L20" s="2" t="n"/>
    </row>
    <row r="21" ht="27.75" customHeight="1" s="46">
      <c r="A21" s="7" t="inlineStr">
        <is>
          <t>Grain &amp; farming</t>
        </is>
      </c>
      <c r="B21" s="7" t="inlineStr">
        <is>
          <t>Beans</t>
        </is>
      </c>
      <c r="C21" s="7" t="inlineStr">
        <is>
          <t>Variant</t>
        </is>
      </c>
      <c r="D21" s="7" t="inlineStr">
        <is>
          <t>Fields</t>
        </is>
      </c>
      <c r="E21" s="7" t="inlineStr">
        <is>
          <t>Vegetables that feed the soil: next year's crop on that field a fifth more.</t>
        </is>
      </c>
      <c r="F21" s="7" t="n"/>
      <c r="G21" s="7" t="n"/>
      <c r="H21" s="11" t="n">
        <v>4</v>
      </c>
      <c r="I21" s="7" t="n"/>
      <c r="J21" s="7" t="inlineStr">
        <is>
          <t>Rotation becomes a plan.</t>
        </is>
      </c>
      <c r="K21" s="45" t="n"/>
      <c r="L21" s="2" t="n"/>
    </row>
    <row r="22" ht="27.75" customHeight="1" s="46">
      <c r="A22" s="7" t="inlineStr">
        <is>
          <t>Grain &amp; farming</t>
        </is>
      </c>
      <c r="B22" s="7" t="inlineStr">
        <is>
          <t>Iron plough</t>
        </is>
      </c>
      <c r="C22" s="7" t="inlineStr">
        <is>
          <t>Extension</t>
        </is>
      </c>
      <c r="D22" s="7" t="inlineStr">
        <is>
          <t>Farmstead</t>
        </is>
      </c>
      <c r="E22" s="7" t="inlineStr">
        <is>
          <t>Farmers tend half as many fields again.</t>
        </is>
      </c>
      <c r="F22" s="7" t="inlineStr">
        <is>
          <t>1 tool a year</t>
        </is>
      </c>
      <c r="G22" s="7" t="inlineStr">
        <is>
          <t>4 planks, 2 tools</t>
        </is>
      </c>
      <c r="H22" s="11" t="n">
        <v>6</v>
      </c>
      <c r="I22" s="7" t="inlineStr">
        <is>
          <t>100 grain harvested</t>
        </is>
      </c>
      <c r="J22" s="7" t="inlineStr">
        <is>
          <t>Fewer farmers, more tools. Overlaps the Heavy Plough charter (step 6).</t>
        </is>
      </c>
      <c r="K22" s="45" t="n"/>
      <c r="L22" s="2" t="n"/>
    </row>
    <row r="23" ht="13.5" customHeight="1" s="46">
      <c r="A23" s="7" t="inlineStr">
        <is>
          <t>Grain &amp; farming</t>
        </is>
      </c>
      <c r="B23" s="7" t="inlineStr">
        <is>
          <t>Tower mill</t>
        </is>
      </c>
      <c r="C23" s="7" t="inlineStr">
        <is>
          <t>Upgrade</t>
        </is>
      </c>
      <c r="D23" s="7" t="inlineStr">
        <is>
          <t>Windmill</t>
        </is>
      </c>
      <c r="E23" s="7" t="inlineStr">
        <is>
          <t>Four grain make five flour.</t>
        </is>
      </c>
      <c r="F23" s="7" t="n"/>
      <c r="G23" s="7" t="inlineStr">
        <is>
          <t>8 stone, 4 wood parts, 4 tiles</t>
        </is>
      </c>
      <c r="H23" s="11" t="n">
        <v>8</v>
      </c>
      <c r="I23" s="26" t="inlineStr">
        <is>
          <t>200 flour milled</t>
        </is>
      </c>
      <c r="J23" s="7" t="inlineStr">
        <is>
          <t>Stone for flour.</t>
        </is>
      </c>
      <c r="K23" s="45" t="n"/>
      <c r="L23" s="2" t="n"/>
    </row>
    <row r="24" ht="27.75" customHeight="1" s="46">
      <c r="A24" s="7" t="inlineStr">
        <is>
          <t>Grain &amp; farming</t>
        </is>
      </c>
      <c r="B24" s="7" t="inlineStr">
        <is>
          <t>Brewer's second copper</t>
        </is>
      </c>
      <c r="C24" s="7" t="inlineStr">
        <is>
          <t>Upgrade</t>
        </is>
      </c>
      <c r="D24" s="7" t="inlineStr">
        <is>
          <t>Brewhouse</t>
        </is>
      </c>
      <c r="E24" s="7" t="inlineStr">
        <is>
          <t>Brews two drinks at once.</t>
        </is>
      </c>
      <c r="F24" s="7" t="n"/>
      <c r="G24" s="7" t="inlineStr">
        <is>
          <t>6 planks, 4 stone</t>
        </is>
      </c>
      <c r="H24" s="11" t="n">
        <v>6</v>
      </c>
      <c r="I24" s="7" t="inlineStr">
        <is>
          <t>two drinks learned</t>
        </is>
      </c>
      <c r="J24" s="7" t="inlineStr">
        <is>
          <t>Variety in the taverns from one building.</t>
        </is>
      </c>
      <c r="K24" s="45" t="n"/>
      <c r="L24" s="2" t="n"/>
    </row>
    <row r="25" ht="13.5" customHeight="1" s="46">
      <c r="A25" s="10" t="inlineStr">
        <is>
          <t>Herds</t>
        </is>
      </c>
      <c r="B25" s="10" t="n"/>
      <c r="C25" s="10" t="n"/>
      <c r="D25" s="10" t="n"/>
      <c r="E25" s="10" t="n"/>
      <c r="F25" s="10" t="n"/>
      <c r="G25" s="10" t="n"/>
      <c r="H25" s="10" t="n"/>
      <c r="I25" s="10" t="n"/>
      <c r="J25" s="10" t="n"/>
      <c r="K25" s="10" t="n"/>
      <c r="L25" s="2" t="n"/>
    </row>
    <row r="26" ht="27.75" customHeight="1" s="46">
      <c r="A26" s="7" t="inlineStr">
        <is>
          <t>Herds</t>
        </is>
      </c>
      <c r="B26" s="7" t="inlineStr">
        <is>
          <t>Goats</t>
        </is>
      </c>
      <c r="C26" s="7" t="inlineStr">
        <is>
          <t>Variant</t>
        </is>
      </c>
      <c r="D26" s="7" t="inlineStr">
        <is>
          <t>Animal Farm</t>
        </is>
      </c>
      <c r="E26" s="7" t="inlineStr">
        <is>
          <t>Milk on scrub: a goat needs only one tile, but gives little milk.</t>
        </is>
      </c>
      <c r="F26" s="7" t="n"/>
      <c r="G26" s="7" t="n"/>
      <c r="H26" s="11" t="n">
        <v>3</v>
      </c>
      <c r="I26" s="7" t="n"/>
      <c r="J26" s="7" t="inlineStr">
        <is>
          <t>Dairy without good pasture.</t>
        </is>
      </c>
      <c r="K26" s="45" t="n"/>
      <c r="L26" s="2" t="n"/>
    </row>
    <row r="27" ht="27.75" customHeight="1" s="46">
      <c r="A27" s="7" t="inlineStr">
        <is>
          <t>Herds</t>
        </is>
      </c>
      <c r="B27" s="7" t="inlineStr">
        <is>
          <t>Long-wool sheep</t>
        </is>
      </c>
      <c r="C27" s="7" t="inlineStr">
        <is>
          <t>Variant</t>
        </is>
      </c>
      <c r="D27" s="7" t="inlineStr">
        <is>
          <t>Animal Farm</t>
        </is>
      </c>
      <c r="E27" s="7" t="inlineStr">
        <is>
          <t>Half as much wool again</t>
        </is>
      </c>
      <c r="F27" s="7" t="n"/>
      <c r="G27" s="7" t="n"/>
      <c r="H27" s="11" t="n">
        <v>8</v>
      </c>
      <c r="I27" s="7" t="inlineStr">
        <is>
          <t>200 wool shorn</t>
        </is>
      </c>
      <c r="J27" s="7" t="n"/>
      <c r="K27" s="45" t="n"/>
      <c r="L27" s="2" t="n"/>
    </row>
    <row r="28" ht="27.75" customHeight="1" s="46">
      <c r="A28" s="7" t="inlineStr">
        <is>
          <t>Herds</t>
        </is>
      </c>
      <c r="B28" s="13" t="inlineStr">
        <is>
          <t>Frisian cattle</t>
        </is>
      </c>
      <c r="C28" s="7" t="inlineStr">
        <is>
          <t>Variant, choice</t>
        </is>
      </c>
      <c r="D28" s="7" t="inlineStr">
        <is>
          <t>Animal Farm</t>
        </is>
      </c>
      <c r="E28" s="7" t="inlineStr">
        <is>
          <t>Twice as much milk, but 30% less meat</t>
        </is>
      </c>
      <c r="F28" s="7" t="n"/>
      <c r="G28" s="7" t="n"/>
      <c r="H28" s="11" t="n">
        <v>12</v>
      </c>
      <c r="I28" s="7" t="inlineStr">
        <is>
          <t>30 livestock</t>
        </is>
      </c>
      <c r="J28" s="7" t="inlineStr">
        <is>
          <t>choice with the other cattle breed</t>
        </is>
      </c>
      <c r="K28" s="45" t="n"/>
      <c r="L28" s="7" t="inlineStr">
        <is>
          <t>Holstein and Wagyu are modern names. Suggest Frisian (milk) and Highland (beef). (5 Questions)</t>
        </is>
      </c>
    </row>
    <row r="29" ht="27.75" customHeight="1" s="46">
      <c r="A29" s="7" t="inlineStr">
        <is>
          <t>Herda</t>
        </is>
      </c>
      <c r="B29" s="13" t="inlineStr">
        <is>
          <t>Highland cattle</t>
        </is>
      </c>
      <c r="C29" s="7" t="inlineStr">
        <is>
          <t>Variant, choice</t>
        </is>
      </c>
      <c r="D29" s="7" t="inlineStr">
        <is>
          <t>Animal Farm</t>
        </is>
      </c>
      <c r="E29" s="7" t="inlineStr">
        <is>
          <t>Twice as much meat, but less milk</t>
        </is>
      </c>
      <c r="F29" s="7" t="n"/>
      <c r="G29" s="7" t="n"/>
      <c r="H29" s="11" t="n">
        <v>12</v>
      </c>
      <c r="I29" s="7" t="inlineStr">
        <is>
          <t>30 livestock</t>
        </is>
      </c>
      <c r="J29" s="7" t="n"/>
      <c r="K29" s="45" t="n"/>
      <c r="L29" s="7" t="inlineStr">
        <is>
          <t>See row 28.</t>
        </is>
      </c>
    </row>
    <row r="30" ht="27.75" customHeight="1" s="46">
      <c r="A30" s="7" t="inlineStr">
        <is>
          <t>Herds</t>
        </is>
      </c>
      <c r="B30" s="7" t="inlineStr">
        <is>
          <t>Animal sheds</t>
        </is>
      </c>
      <c r="C30" s="7" t="inlineStr">
        <is>
          <t>Upgrade</t>
        </is>
      </c>
      <c r="D30" s="7" t="inlineStr">
        <is>
          <t>Pasture</t>
        </is>
      </c>
      <c r="E30" s="7" t="inlineStr">
        <is>
          <t>Increase pasture space by 15%</t>
        </is>
      </c>
      <c r="F30" s="7" t="n"/>
      <c r="G30" s="7" t="inlineStr">
        <is>
          <t>10 planks</t>
        </is>
      </c>
      <c r="H30" s="11" t="n">
        <v>6</v>
      </c>
      <c r="I30" s="7" t="inlineStr">
        <is>
          <t>15 livestock</t>
        </is>
      </c>
      <c r="J30" s="7" t="n"/>
      <c r="K30" s="45" t="n"/>
      <c r="L30" s="2" t="n"/>
    </row>
    <row r="31" ht="27.75" customHeight="1" s="46">
      <c r="A31" s="7" t="inlineStr">
        <is>
          <t>Herds</t>
        </is>
      </c>
      <c r="B31" s="7" t="inlineStr">
        <is>
          <t>Cheese cellar</t>
        </is>
      </c>
      <c r="C31" s="7" t="inlineStr">
        <is>
          <t>Upgrade</t>
        </is>
      </c>
      <c r="D31" s="7" t="inlineStr">
        <is>
          <t>Dairy</t>
        </is>
      </c>
      <c r="E31" s="7" t="inlineStr">
        <is>
          <t>Two milk make two cheese (today three make two).</t>
        </is>
      </c>
      <c r="F31" s="7" t="n"/>
      <c r="G31" s="7" t="inlineStr">
        <is>
          <t>6 stone, 2 tiles</t>
        </is>
      </c>
      <c r="H31" s="11" t="n">
        <v>6</v>
      </c>
      <c r="I31" s="7" t="inlineStr">
        <is>
          <t>30 cheese made</t>
        </is>
      </c>
      <c r="J31" s="7" t="n"/>
      <c r="K31" s="45" t="n"/>
      <c r="L31" s="2" t="n"/>
    </row>
    <row r="32" ht="13.5" customHeight="1" s="46">
      <c r="A32" s="10" t="inlineStr">
        <is>
          <t>Orchards &amp; hives</t>
        </is>
      </c>
      <c r="B32" s="10" t="n"/>
      <c r="C32" s="10" t="n"/>
      <c r="D32" s="10" t="n"/>
      <c r="E32" s="10" t="n"/>
      <c r="F32" s="10" t="n"/>
      <c r="G32" s="10" t="n"/>
      <c r="H32" s="10" t="n"/>
      <c r="I32" s="10" t="n"/>
      <c r="J32" s="10" t="n"/>
      <c r="K32" s="10" t="n"/>
      <c r="L32" s="2" t="n"/>
    </row>
    <row r="33" ht="42" customHeight="1" s="46">
      <c r="A33" s="7" t="inlineStr">
        <is>
          <t>Orchards &amp; hives</t>
        </is>
      </c>
      <c r="B33" s="7" t="inlineStr">
        <is>
          <t>Espalier</t>
        </is>
      </c>
      <c r="C33" s="7" t="inlineStr">
        <is>
          <t>Choice</t>
        </is>
      </c>
      <c r="D33" s="7" t="inlineStr">
        <is>
          <t>town</t>
        </is>
      </c>
      <c r="E33" s="7" t="inlineStr">
        <is>
          <t>Trees trained on walls: orchard tiles touching walls or buildings bear a third more; open orchards as today.</t>
        </is>
      </c>
      <c r="F33" s="7" t="n"/>
      <c r="G33" s="7" t="n"/>
      <c r="H33" s="11" t="n">
        <v>8</v>
      </c>
      <c r="I33" s="7" t="n"/>
      <c r="J33" s="7" t="inlineStr">
        <is>
          <t>A placement puzzle for compact towns.</t>
        </is>
      </c>
      <c r="K33" s="45" t="n"/>
      <c r="L33" s="2" t="n"/>
    </row>
    <row r="34" ht="42" customHeight="1" s="46">
      <c r="A34" s="7" t="inlineStr">
        <is>
          <t>Orchards &amp; hives</t>
        </is>
      </c>
      <c r="B34" s="7" t="inlineStr">
        <is>
          <t>Pears</t>
        </is>
      </c>
      <c r="C34" s="7" t="inlineStr">
        <is>
          <t>Variant</t>
        </is>
      </c>
      <c r="D34" s="7" t="inlineStr">
        <is>
          <t>Orchard</t>
        </is>
      </c>
      <c r="E34" s="7" t="inlineStr">
        <is>
          <t>Takes 1 more year to mature, but yield a third more</t>
        </is>
      </c>
      <c r="F34" s="7" t="n"/>
      <c r="G34" s="7" t="n"/>
      <c r="H34" s="11" t="n">
        <v>6</v>
      </c>
      <c r="I34" s="7" t="n"/>
      <c r="J34" s="7" t="n"/>
      <c r="K34" s="45" t="n"/>
      <c r="L34" s="7" t="inlineStr">
        <is>
          <t>Pears move here; plums stay in step 1.</t>
        </is>
      </c>
    </row>
    <row r="35" ht="42" customHeight="1" s="46">
      <c r="A35" s="7" t="inlineStr">
        <is>
          <t>Orchards &amp; hives</t>
        </is>
      </c>
      <c r="B35" s="7" t="inlineStr">
        <is>
          <t>Strawberries</t>
        </is>
      </c>
      <c r="C35" s="7" t="inlineStr">
        <is>
          <t>Variant</t>
        </is>
      </c>
      <c r="D35" s="7" t="inlineStr">
        <is>
          <t>Orchard</t>
        </is>
      </c>
      <c r="E35" s="7" t="inlineStr">
        <is>
          <t>Mature in one year, and yield a fifth more</t>
        </is>
      </c>
      <c r="F35" s="7" t="n"/>
      <c r="G35" s="7" t="n"/>
      <c r="H35" s="11" t="n">
        <v>12</v>
      </c>
      <c r="I35" s="7" t="n"/>
      <c r="J35" s="7" t="n"/>
      <c r="K35" s="45" t="n"/>
      <c r="L35" s="7" t="inlineStr">
        <is>
          <t>A new good: strawberries (food), your answer.</t>
        </is>
      </c>
    </row>
    <row r="36" ht="27.75" customHeight="1" s="46">
      <c r="A36" s="7" t="inlineStr">
        <is>
          <t>Orchards &amp; hives</t>
        </is>
      </c>
      <c r="B36" s="7" t="inlineStr">
        <is>
          <t>Skep or log hives</t>
        </is>
      </c>
      <c r="C36" s="7" t="inlineStr">
        <is>
          <t>Choice</t>
        </is>
      </c>
      <c r="D36" s="7" t="inlineStr">
        <is>
          <t>town</t>
        </is>
      </c>
      <c r="E36" s="7" t="inlineStr">
        <is>
          <t>Skeps: more honey, bees swarm away now and then. Log hives: steady but less bonus.</t>
        </is>
      </c>
      <c r="F36" s="7" t="n"/>
      <c r="G36" s="7" t="n"/>
      <c r="H36" s="11" t="n">
        <v>5</v>
      </c>
      <c r="I36" s="7" t="n"/>
      <c r="J36" s="7" t="inlineStr">
        <is>
          <t>Risk or steadiness.</t>
        </is>
      </c>
      <c r="K36" s="45" t="n"/>
      <c r="L36" s="2" t="n"/>
    </row>
    <row r="37" ht="13.5" customHeight="1" s="46">
      <c r="A37" s="10" t="inlineStr">
        <is>
          <t>Wild food &amp; herbs</t>
        </is>
      </c>
      <c r="B37" s="10" t="n"/>
      <c r="C37" s="10" t="n"/>
      <c r="D37" s="10" t="n"/>
      <c r="E37" s="10" t="n"/>
      <c r="F37" s="10" t="n"/>
      <c r="G37" s="10" t="n"/>
      <c r="H37" s="10" t="n"/>
      <c r="I37" s="10" t="n"/>
      <c r="J37" s="10" t="n"/>
      <c r="K37" s="10" t="n"/>
      <c r="L37" s="2" t="n"/>
    </row>
    <row r="38" ht="27.75" customHeight="1" s="46">
      <c r="A38" s="7" t="inlineStr">
        <is>
          <t>Wild food &amp; herbs</t>
        </is>
      </c>
      <c r="B38" s="7" t="inlineStr">
        <is>
          <t>Herb garden</t>
        </is>
      </c>
      <c r="C38" s="7" t="inlineStr">
        <is>
          <t>Extension</t>
        </is>
      </c>
      <c r="D38" s="7" t="inlineStr">
        <is>
          <t>Forager</t>
        </is>
      </c>
      <c r="E38" s="7" t="inlineStr">
        <is>
          <t>Herbs grown on a plot all year instead of gathered in season.</t>
        </is>
      </c>
      <c r="F38" s="7" t="n"/>
      <c r="G38" s="7" t="inlineStr">
        <is>
          <t>3 planks</t>
        </is>
      </c>
      <c r="H38" s="11" t="n">
        <v>3</v>
      </c>
      <c r="I38" s="26" t="inlineStr">
        <is>
          <t>50 herbs gathered</t>
        </is>
      </c>
      <c r="J38" s="7" t="inlineStr">
        <is>
          <t>Steady medicine.</t>
        </is>
      </c>
      <c r="K38" s="45" t="n"/>
      <c r="L38" s="2" t="n"/>
    </row>
    <row r="39" ht="27.75" customHeight="1" s="46">
      <c r="A39" s="7" t="inlineStr">
        <is>
          <t>Wild food &amp; herbs</t>
        </is>
      </c>
      <c r="B39" s="7" t="inlineStr">
        <is>
          <t>Fishing boat</t>
        </is>
      </c>
      <c r="C39" s="7" t="inlineStr">
        <is>
          <t>Upgrade</t>
        </is>
      </c>
      <c r="D39" s="7" t="inlineStr">
        <is>
          <t>Fisher</t>
        </is>
      </c>
      <c r="E39" s="7" t="inlineStr">
        <is>
          <t>One more working place</t>
        </is>
      </c>
      <c r="F39" s="7" t="inlineStr">
        <is>
          <t>1 wood parts a year</t>
        </is>
      </c>
      <c r="G39" s="7" t="inlineStr">
        <is>
          <t>6 planks, 2 wood parts</t>
        </is>
      </c>
      <c r="H39" s="11" t="n">
        <v>6</v>
      </c>
      <c r="I39" s="7" t="inlineStr">
        <is>
          <t>50 fish caught</t>
        </is>
      </c>
      <c r="J39" s="7" t="n"/>
      <c r="K39" s="45" t="n"/>
      <c r="L39" s="2" t="n"/>
    </row>
    <row r="40" ht="27.75" customHeight="1" s="46">
      <c r="A40" s="7" t="inlineStr">
        <is>
          <t>Wild food &amp; herbs</t>
        </is>
      </c>
      <c r="B40" s="7" t="inlineStr">
        <is>
          <t>Pisciculture</t>
        </is>
      </c>
      <c r="C40" s="7" t="inlineStr">
        <is>
          <t>Extension</t>
        </is>
      </c>
      <c r="D40" s="7" t="inlineStr">
        <is>
          <t>Fisher</t>
        </is>
      </c>
      <c r="E40" s="7" t="inlineStr">
        <is>
          <t>Create a fixed fish school close to the fisher hut</t>
        </is>
      </c>
      <c r="F40" s="7" t="n"/>
      <c r="G40" s="7" t="inlineStr">
        <is>
          <t>1 timber, 4 planks</t>
        </is>
      </c>
      <c r="H40" s="11" t="n">
        <v>6</v>
      </c>
      <c r="I40" s="26" t="inlineStr">
        <is>
          <t>100 fish caught</t>
        </is>
      </c>
      <c r="J40" s="7" t="n"/>
      <c r="K40" s="45" t="n"/>
      <c r="L40" s="7" t="inlineStr">
        <is>
          <t>Spelling: Pisciculture.</t>
        </is>
      </c>
    </row>
    <row r="41" ht="27.75" customHeight="1" s="46">
      <c r="A41" s="7" t="inlineStr">
        <is>
          <t>Wild food &amp; herbs</t>
        </is>
      </c>
      <c r="B41" s="7" t="inlineStr">
        <is>
          <t>Kennels</t>
        </is>
      </c>
      <c r="C41" s="7" t="inlineStr">
        <is>
          <t>Extension</t>
        </is>
      </c>
      <c r="D41" s="7" t="inlineStr">
        <is>
          <t>Hunter</t>
        </is>
      </c>
      <c r="E41" s="7" t="inlineStr">
        <is>
          <t>Double walking speed for hunters; the dogs eat a meat a month.</t>
        </is>
      </c>
      <c r="F41" s="7" t="inlineStr">
        <is>
          <t>1 meat a month</t>
        </is>
      </c>
      <c r="G41" s="7" t="inlineStr">
        <is>
          <t>4 timber, 2 planks</t>
        </is>
      </c>
      <c r="H41" s="11" t="n">
        <v>4</v>
      </c>
      <c r="I41" s="26" t="inlineStr">
        <is>
          <t>100 meat hunted</t>
        </is>
      </c>
      <c r="J41" s="7" t="n"/>
      <c r="K41" s="45" t="n"/>
      <c r="L41" s="2" t="n"/>
    </row>
    <row r="42" ht="13.5" customHeight="1" s="46">
      <c r="A42" s="10" t="inlineStr">
        <is>
          <t>Cloth &amp; leather</t>
        </is>
      </c>
      <c r="B42" s="10" t="n"/>
      <c r="C42" s="10" t="n"/>
      <c r="D42" s="10" t="n"/>
      <c r="E42" s="10" t="n"/>
      <c r="F42" s="10" t="n"/>
      <c r="G42" s="10" t="n"/>
      <c r="H42" s="10" t="n"/>
      <c r="I42" s="10" t="n"/>
      <c r="J42" s="10" t="n"/>
      <c r="K42" s="10" t="n"/>
      <c r="L42" s="2" t="n"/>
    </row>
    <row r="43" ht="27.75" customHeight="1" s="46">
      <c r="A43" s="7" t="inlineStr">
        <is>
          <t>Cloth &amp; leather</t>
        </is>
      </c>
      <c r="B43" s="7" t="inlineStr">
        <is>
          <t>Broadloom</t>
        </is>
      </c>
      <c r="C43" s="7" t="inlineStr">
        <is>
          <t>Upgrade</t>
        </is>
      </c>
      <c r="D43" s="7" t="inlineStr">
        <is>
          <t>Weaver</t>
        </is>
      </c>
      <c r="E43" s="7" t="inlineStr">
        <is>
          <t>Two wool or three flax make three cloth (today two).</t>
        </is>
      </c>
      <c r="F43" s="7" t="inlineStr">
        <is>
          <t>1 wood part a year</t>
        </is>
      </c>
      <c r="G43" s="7" t="inlineStr">
        <is>
          <t>6 planks, 4 wood parts</t>
        </is>
      </c>
      <c r="H43" s="11" t="n">
        <v>8</v>
      </c>
      <c r="I43" s="26" t="inlineStr">
        <is>
          <t>100 cloth woven</t>
        </is>
      </c>
      <c r="J43" s="7" t="n"/>
      <c r="K43" s="45" t="n"/>
      <c r="L43" s="2" t="n"/>
    </row>
    <row r="44" ht="42" customHeight="1" s="46">
      <c r="A44" s="7" t="inlineStr">
        <is>
          <t>Cloth &amp; leather</t>
        </is>
      </c>
      <c r="B44" s="7" t="inlineStr">
        <is>
          <t>Dyed tunics</t>
        </is>
      </c>
      <c r="C44" s="7" t="inlineStr">
        <is>
          <t>Town option</t>
        </is>
      </c>
      <c r="D44" s="7" t="inlineStr">
        <is>
          <t>Dyer</t>
        </is>
      </c>
      <c r="E44" s="7" t="inlineStr">
        <is>
          <t>Villagers wear dyed colours (the lord's, or each home's): +2 happiness; a dye a year for every ten villagers.</t>
        </is>
      </c>
      <c r="F44" s="7" t="inlineStr">
        <is>
          <t>dyes</t>
        </is>
      </c>
      <c r="G44" s="7" t="n"/>
      <c r="H44" s="11" t="n">
        <v>4</v>
      </c>
      <c r="I44" s="7" t="n"/>
      <c r="J44" s="7" t="inlineStr">
        <is>
          <t>A colourful town, at a running cost.</t>
        </is>
      </c>
      <c r="K44" s="45" t="n"/>
      <c r="L44" s="2" t="n"/>
    </row>
    <row r="45" ht="27.75" customHeight="1" s="46">
      <c r="A45" s="7" t="inlineStr">
        <is>
          <t>Cloth &amp; leather</t>
        </is>
      </c>
      <c r="B45" s="7" t="inlineStr">
        <is>
          <t>Cobbler</t>
        </is>
      </c>
      <c r="C45" s="7" t="inlineStr">
        <is>
          <t>Building</t>
        </is>
      </c>
      <c r="D45" s="7" t="inlineStr">
        <is>
          <t>Tailor</t>
        </is>
      </c>
      <c r="E45" s="7" t="inlineStr">
        <is>
          <t>A shop for boots alone, faster than the tailor's recipe.</t>
        </is>
      </c>
      <c r="F45" s="7" t="inlineStr">
        <is>
          <t>1 tool a year</t>
        </is>
      </c>
      <c r="G45" s="7" t="inlineStr">
        <is>
          <t>4 timber, 6 planks</t>
        </is>
      </c>
      <c r="H45" s="11" t="n">
        <v>6</v>
      </c>
      <c r="I45" s="7" t="n"/>
      <c r="J45" s="7" t="inlineStr">
        <is>
          <t>Split garments when the town needs both.</t>
        </is>
      </c>
      <c r="K45" s="45" t="n"/>
      <c r="L45" s="2" t="n"/>
    </row>
    <row r="46" ht="13.5" customHeight="1" s="46">
      <c r="A46" s="10" t="inlineStr">
        <is>
          <t>Iron &amp; tools</t>
        </is>
      </c>
      <c r="B46" s="10" t="n"/>
      <c r="C46" s="10" t="n"/>
      <c r="D46" s="10" t="n"/>
      <c r="E46" s="10" t="n"/>
      <c r="F46" s="10" t="n"/>
      <c r="G46" s="10" t="n"/>
      <c r="H46" s="10" t="n"/>
      <c r="I46" s="10" t="n"/>
      <c r="J46" s="10" t="n"/>
      <c r="K46" s="10" t="n"/>
      <c r="L46" s="2" t="n"/>
    </row>
    <row r="47" ht="13.5" customHeight="1" s="46">
      <c r="A47" s="7" t="inlineStr">
        <is>
          <t>Iron &amp; tools</t>
        </is>
      </c>
      <c r="B47" s="7" t="inlineStr">
        <is>
          <t>Water bellows</t>
        </is>
      </c>
      <c r="C47" s="7" t="inlineStr">
        <is>
          <t>Extension</t>
        </is>
      </c>
      <c r="D47" s="7" t="inlineStr">
        <is>
          <t>Bloomery</t>
        </is>
      </c>
      <c r="E47" s="7" t="inlineStr">
        <is>
          <t>Beside water: iron on half the fuel.</t>
        </is>
      </c>
      <c r="F47" s="7" t="inlineStr">
        <is>
          <t>2 wood parts a year</t>
        </is>
      </c>
      <c r="G47" s="7" t="inlineStr">
        <is>
          <t>6 planks, 4 wood parts</t>
        </is>
      </c>
      <c r="H47" s="11" t="n">
        <v>10</v>
      </c>
      <c r="I47" s="26" t="inlineStr">
        <is>
          <t>100 iron smelted</t>
        </is>
      </c>
      <c r="J47" s="7" t="inlineStr">
        <is>
          <t>River towns smelt cheaply.</t>
        </is>
      </c>
      <c r="K47" s="45" t="n"/>
      <c r="L47" s="2" t="n"/>
    </row>
    <row r="48" ht="42" customHeight="1" s="46">
      <c r="A48" s="7" t="inlineStr">
        <is>
          <t>Iron &amp; tools</t>
        </is>
      </c>
      <c r="B48" s="7" t="inlineStr">
        <is>
          <t>Farrier</t>
        </is>
      </c>
      <c r="C48" s="7" t="inlineStr">
        <is>
          <t>Extension</t>
        </is>
      </c>
      <c r="D48" s="7" t="inlineStr">
        <is>
          <t>Blacksmith</t>
        </is>
      </c>
      <c r="E48" s="7" t="inlineStr">
        <is>
          <t>Shoes the draught animals: a pack horse carries a quarter more, an ox speeds building a quarter more.</t>
        </is>
      </c>
      <c r="F48" s="7" t="inlineStr">
        <is>
          <t>1 iron a year per animal</t>
        </is>
      </c>
      <c r="G48" s="7" t="inlineStr">
        <is>
          <t>4 planks, 2 stone</t>
        </is>
      </c>
      <c r="H48" s="11" t="n">
        <v>6</v>
      </c>
      <c r="I48" s="26" t="inlineStr">
        <is>
          <t>a draught animal at work</t>
        </is>
      </c>
      <c r="J48" s="7" t="inlineStr">
        <is>
          <t>Links smithing to trade and building.</t>
        </is>
      </c>
      <c r="K48" s="45" t="n"/>
      <c r="L48" s="2" t="n"/>
    </row>
    <row r="49" ht="13.5" customHeight="1" s="46">
      <c r="A49" s="7" t="inlineStr">
        <is>
          <t>Iron &amp; tools</t>
        </is>
      </c>
      <c r="B49" s="7" t="inlineStr">
        <is>
          <t>Deep shaft</t>
        </is>
      </c>
      <c r="C49" s="7" t="inlineStr">
        <is>
          <t>Extension</t>
        </is>
      </c>
      <c r="D49" s="7" t="inlineStr">
        <is>
          <t>Bog Iron Pit</t>
        </is>
      </c>
      <c r="E49" s="7" t="inlineStr">
        <is>
          <t>The ore lasts twice as long.</t>
        </is>
      </c>
      <c r="F49" s="7" t="n"/>
      <c r="G49" s="7" t="inlineStr">
        <is>
          <t>6 planks, 4 wood parts</t>
        </is>
      </c>
      <c r="H49" s="11" t="n">
        <v>6</v>
      </c>
      <c r="I49" s="26" t="inlineStr">
        <is>
          <t>200 ore dug</t>
        </is>
      </c>
      <c r="J49" s="7" t="n"/>
      <c r="K49" s="45" t="n"/>
      <c r="L49" s="2" t="n"/>
    </row>
    <row r="50" ht="13.5" customHeight="1" s="46">
      <c r="A50" s="10" t="inlineStr">
        <is>
          <t>Glass &amp; writing</t>
        </is>
      </c>
      <c r="B50" s="10" t="n"/>
      <c r="C50" s="10" t="n"/>
      <c r="D50" s="10" t="n"/>
      <c r="E50" s="10" t="n"/>
      <c r="F50" s="10" t="n"/>
      <c r="G50" s="10" t="n"/>
      <c r="H50" s="10" t="n"/>
      <c r="I50" s="10" t="n"/>
      <c r="J50" s="10" t="n"/>
      <c r="K50" s="10" t="n"/>
      <c r="L50" s="2" t="n"/>
    </row>
    <row r="51" ht="27.75" customHeight="1" s="46">
      <c r="A51" s="7" t="inlineStr">
        <is>
          <t>Glass &amp; writing</t>
        </is>
      </c>
      <c r="B51" s="7" t="inlineStr">
        <is>
          <t>Crown glass</t>
        </is>
      </c>
      <c r="C51" s="7" t="inlineStr">
        <is>
          <t>Upgrade</t>
        </is>
      </c>
      <c r="D51" s="7" t="inlineStr">
        <is>
          <t>Glassworks</t>
        </is>
      </c>
      <c r="E51" s="7" t="inlineStr">
        <is>
          <t>Three sand and two charcoal make two glass (today one).</t>
        </is>
      </c>
      <c r="F51" s="7" t="n"/>
      <c r="G51" s="7" t="inlineStr">
        <is>
          <t>8 stone, 4 tools</t>
        </is>
      </c>
      <c r="H51" s="11" t="n">
        <v>12</v>
      </c>
      <c r="I51" s="26" t="inlineStr">
        <is>
          <t>50 glass made</t>
        </is>
      </c>
      <c r="J51" s="7" t="n"/>
      <c r="K51" s="45" t="n"/>
      <c r="L51" s="2" t="n"/>
    </row>
    <row r="52" ht="42" customHeight="1" s="46">
      <c r="A52" s="7" t="inlineStr">
        <is>
          <t>Glass &amp; writing</t>
        </is>
      </c>
      <c r="B52" s="7" t="inlineStr">
        <is>
          <t>Church windows</t>
        </is>
      </c>
      <c r="C52" s="7" t="inlineStr">
        <is>
          <t>Town option</t>
        </is>
      </c>
      <c r="D52" s="7" t="inlineStr">
        <is>
          <t>Glazier</t>
        </is>
      </c>
      <c r="E52" s="7" t="inlineStr">
        <is>
          <t>Churches and the cathedral get stained-glass windows: +happiness and prestige; a stained glass each, once.</t>
        </is>
      </c>
      <c r="F52" s="7" t="inlineStr">
        <is>
          <t>stained glass (once)</t>
        </is>
      </c>
      <c r="G52" s="7" t="n"/>
      <c r="H52" s="11" t="n">
        <v>2</v>
      </c>
      <c r="I52" s="7" t="n"/>
      <c r="J52" s="7" t="inlineStr">
        <is>
          <t>Show off the glazier.</t>
        </is>
      </c>
      <c r="K52" s="45" t="n"/>
      <c r="L52" s="2" t="n"/>
    </row>
    <row r="53" ht="13.5" customHeight="1" s="46">
      <c r="A53" s="7" t="inlineStr">
        <is>
          <t>Glass &amp; writing</t>
        </is>
      </c>
      <c r="B53" s="7" t="inlineStr">
        <is>
          <t>Second vat</t>
        </is>
      </c>
      <c r="C53" s="7" t="inlineStr">
        <is>
          <t>Upgrade</t>
        </is>
      </c>
      <c r="D53" s="7" t="inlineStr">
        <is>
          <t>Paper Mill</t>
        </is>
      </c>
      <c r="E53" s="7" t="inlineStr">
        <is>
          <t>One flax makes two paper.</t>
        </is>
      </c>
      <c r="F53" s="7" t="n"/>
      <c r="G53" s="7" t="inlineStr">
        <is>
          <t>6 planks, 2 wood parts</t>
        </is>
      </c>
      <c r="H53" s="11" t="n">
        <v>6</v>
      </c>
      <c r="I53" s="26" t="inlineStr">
        <is>
          <t>100 paper made</t>
        </is>
      </c>
      <c r="J53" s="7" t="n"/>
      <c r="K53" s="45" t="n"/>
      <c r="L53" s="2" t="n"/>
    </row>
    <row r="54" ht="13.5" customHeight="1" s="46">
      <c r="A54" s="10" t="inlineStr">
        <is>
          <t>Civic</t>
        </is>
      </c>
      <c r="B54" s="10" t="n"/>
      <c r="C54" s="10" t="n"/>
      <c r="D54" s="10" t="n"/>
      <c r="E54" s="10" t="n"/>
      <c r="F54" s="10" t="n"/>
      <c r="G54" s="10" t="n"/>
      <c r="H54" s="10" t="n"/>
      <c r="I54" s="10" t="n"/>
      <c r="J54" s="10" t="n"/>
      <c r="K54" s="10" t="n"/>
      <c r="L54" s="2" t="n"/>
    </row>
    <row r="55" ht="27.75" customHeight="1" s="46">
      <c r="A55" s="7" t="inlineStr">
        <is>
          <t>Civic</t>
        </is>
      </c>
      <c r="B55" s="7" t="inlineStr">
        <is>
          <t>Sunday school</t>
        </is>
      </c>
      <c r="C55" s="7" t="inlineStr">
        <is>
          <t>Extension</t>
        </is>
      </c>
      <c r="D55" s="7" t="inlineStr">
        <is>
          <t>Church</t>
        </is>
      </c>
      <c r="E55" s="7" t="inlineStr">
        <is>
          <t>0.02 knowledge a month for each home it serves; all work 2% slower.</t>
        </is>
      </c>
      <c r="F55" s="7" t="n"/>
      <c r="G55" s="7" t="inlineStr">
        <is>
          <t>4 planks, 2 tiles</t>
        </is>
      </c>
      <c r="H55" s="11" t="n">
        <v>4</v>
      </c>
      <c r="I55" s="26" t="inlineStr">
        <is>
          <t>the church serving 10 homes</t>
        </is>
      </c>
      <c r="J55" s="7" t="inlineStr">
        <is>
          <t>Learning grows with the parish (the public school is the fixed alternative).</t>
        </is>
      </c>
      <c r="K55" s="45" t="n"/>
      <c r="L55" s="2" t="n"/>
    </row>
    <row r="56" ht="27.75" customHeight="1" s="46">
      <c r="A56" s="7" t="inlineStr">
        <is>
          <t>Civic</t>
        </is>
      </c>
      <c r="B56" s="7" t="inlineStr">
        <is>
          <t>Infirmary</t>
        </is>
      </c>
      <c r="C56" s="7" t="inlineStr">
        <is>
          <t>Extension</t>
        </is>
      </c>
      <c r="D56" s="7" t="inlineStr">
        <is>
          <t>Monastery</t>
        </is>
      </c>
      <c r="E56" s="7" t="inlineStr">
        <is>
          <t>Sickness passes lightly over homes in reach; uses medicine.</t>
        </is>
      </c>
      <c r="F56" s="7" t="inlineStr">
        <is>
          <t>1 medicine a month</t>
        </is>
      </c>
      <c r="G56" s="7" t="inlineStr">
        <is>
          <t>6 stone, 4 tiles</t>
        </is>
      </c>
      <c r="H56" s="11" t="n">
        <v>8</v>
      </c>
      <c r="I56" s="26" t="inlineStr">
        <is>
          <t>20 medicine made</t>
        </is>
      </c>
      <c r="J56" s="7" t="inlineStr">
        <is>
          <t>Where medicine goes beyond the homes.</t>
        </is>
      </c>
      <c r="K56" s="45" t="n"/>
      <c r="L56" s="2" t="n"/>
    </row>
    <row r="57" ht="27.75" customHeight="1" s="46">
      <c r="A57" s="7" t="inlineStr">
        <is>
          <t>Civic</t>
        </is>
      </c>
      <c r="B57" s="7" t="inlineStr">
        <is>
          <t>Inn rooms</t>
        </is>
      </c>
      <c r="C57" s="7" t="inlineStr">
        <is>
          <t>Upgrade</t>
        </is>
      </c>
      <c r="D57" s="7" t="inlineStr">
        <is>
          <t>Tavern</t>
        </is>
      </c>
      <c r="E57" s="7" t="inlineStr">
        <is>
          <t>Travellers stay: coins every month; they eat a little food.</t>
        </is>
      </c>
      <c r="F57" s="7" t="inlineStr">
        <is>
          <t>food</t>
        </is>
      </c>
      <c r="G57" s="7" t="inlineStr">
        <is>
          <t>6 planks, 4 tiles</t>
        </is>
      </c>
      <c r="H57" s="11" t="n">
        <v>6</v>
      </c>
      <c r="I57" s="26" t="inlineStr">
        <is>
          <t>the tavern serving 10 homes</t>
        </is>
      </c>
      <c r="J57" s="7" t="inlineStr">
        <is>
          <t>A tavern that earns.</t>
        </is>
      </c>
      <c r="K57" s="45" t="n"/>
      <c r="L57" s="2" t="n"/>
    </row>
    <row r="58" ht="13.5" customHeight="1" s="46">
      <c r="A58" s="7" t="inlineStr">
        <is>
          <t>Civic</t>
        </is>
      </c>
      <c r="B58" s="7" t="inlineStr">
        <is>
          <t>Loft</t>
        </is>
      </c>
      <c r="C58" s="7" t="inlineStr">
        <is>
          <t>Upgrade</t>
        </is>
      </c>
      <c r="D58" s="7" t="inlineStr">
        <is>
          <t>Storehouse / Granary</t>
        </is>
      </c>
      <c r="E58" s="7" t="inlineStr">
        <is>
          <t>Holds half as much again.</t>
        </is>
      </c>
      <c r="F58" s="7" t="n"/>
      <c r="G58" s="7" t="inlineStr">
        <is>
          <t>6 planks</t>
        </is>
      </c>
      <c r="H58" s="11" t="n">
        <v>4</v>
      </c>
      <c r="I58" s="26" t="inlineStr">
        <is>
          <t>the store full once</t>
        </is>
      </c>
      <c r="J58" s="7" t="n"/>
      <c r="K58" s="45" t="n"/>
      <c r="L58" s="7" t="inlineStr">
        <is>
          <t>With the improved stores below this becomes a chain: Loft, then Improved (M2).</t>
        </is>
      </c>
    </row>
    <row r="59" ht="13.5" customHeight="1" s="46">
      <c r="A59" s="7" t="inlineStr">
        <is>
          <t>Civic</t>
        </is>
      </c>
      <c r="B59" s="7" t="inlineStr">
        <is>
          <t>Pump</t>
        </is>
      </c>
      <c r="C59" s="7" t="inlineStr">
        <is>
          <t>Upgrade</t>
        </is>
      </c>
      <c r="D59" s="7" t="inlineStr">
        <is>
          <t>Well</t>
        </is>
      </c>
      <c r="E59" s="7" t="inlineStr">
        <is>
          <t>Reach half as far again.</t>
        </is>
      </c>
      <c r="F59" s="7" t="inlineStr">
        <is>
          <t>1 wood part a year</t>
        </is>
      </c>
      <c r="G59" s="7" t="inlineStr">
        <is>
          <t>2 wood parts, 2 stone</t>
        </is>
      </c>
      <c r="H59" s="11" t="n">
        <v>3</v>
      </c>
      <c r="I59" s="26" t="inlineStr">
        <is>
          <t>the well serving 8 homes</t>
        </is>
      </c>
      <c r="J59" s="7" t="n"/>
      <c r="K59" s="45" t="n"/>
      <c r="L59" s="2" t="n"/>
    </row>
    <row r="60" ht="27.75" customHeight="1" s="46">
      <c r="A60" s="7" t="inlineStr">
        <is>
          <t>Civic</t>
        </is>
      </c>
      <c r="B60" s="7" t="inlineStr">
        <is>
          <t>Market cross</t>
        </is>
      </c>
      <c r="C60" s="7" t="inlineStr">
        <is>
          <t>Extension</t>
        </is>
      </c>
      <c r="D60" s="7" t="inlineStr">
        <is>
          <t>Market</t>
        </is>
      </c>
      <c r="E60" s="7" t="inlineStr">
        <is>
          <t>+beauty around it, and each stall serves two more homes.</t>
        </is>
      </c>
      <c r="F60" s="7" t="n"/>
      <c r="G60" s="7" t="inlineStr">
        <is>
          <t>4 dressed stone</t>
        </is>
      </c>
      <c r="H60" s="11" t="n">
        <v>5</v>
      </c>
      <c r="I60" s="26" t="inlineStr">
        <is>
          <t>a market of 4 stalls</t>
        </is>
      </c>
      <c r="J60" s="7" t="n"/>
      <c r="K60" s="45" t="n"/>
      <c r="L60" s="2" t="n"/>
    </row>
    <row r="61" ht="13.5" customHeight="1" s="46">
      <c r="A61" s="10" t="inlineStr">
        <is>
          <t>Trade</t>
        </is>
      </c>
      <c r="B61" s="10" t="n"/>
      <c r="C61" s="10" t="n"/>
      <c r="D61" s="10" t="n"/>
      <c r="E61" s="10" t="n"/>
      <c r="F61" s="10" t="n"/>
      <c r="G61" s="10" t="n"/>
      <c r="H61" s="10" t="n"/>
      <c r="I61" s="10" t="n"/>
      <c r="J61" s="10" t="n"/>
      <c r="K61" s="10" t="n"/>
      <c r="L61" s="2" t="n"/>
    </row>
    <row r="62" ht="42" customHeight="1" s="46">
      <c r="A62" s="35" t="inlineStr">
        <is>
          <t>Trade</t>
        </is>
      </c>
      <c r="B62" s="5" t="inlineStr">
        <is>
          <t>Toll navigation</t>
        </is>
      </c>
      <c r="C62" s="13" t="inlineStr">
        <is>
          <t>Upgrade (town, step 1 of 2)</t>
        </is>
      </c>
      <c r="D62" s="5" t="n"/>
      <c r="E62" s="5" t="inlineStr">
        <is>
          <t>reduce import costs multiplier by a factor of 0,1 and increase export multiplier by a factor of 0,1</t>
        </is>
      </c>
      <c r="F62" s="5" t="n"/>
      <c r="G62" s="5" t="n"/>
      <c r="H62" s="21" t="n">
        <v>12</v>
      </c>
      <c r="I62" s="5" t="inlineStr">
        <is>
          <t>250 goods traded</t>
        </is>
      </c>
      <c r="J62" s="5" t="n"/>
      <c r="K62" s="23" t="n"/>
      <c r="L62" s="7" t="inlineStr">
        <is>
          <t>Same effect on all trade, so not a choice: two steps that stack (your answer).</t>
        </is>
      </c>
    </row>
    <row r="63" ht="42" customHeight="1" s="46">
      <c r="A63" s="13" t="inlineStr">
        <is>
          <t>Trade</t>
        </is>
      </c>
      <c r="B63" s="5" t="inlineStr">
        <is>
          <t>Trade deals</t>
        </is>
      </c>
      <c r="C63" s="13" t="inlineStr">
        <is>
          <t>Upgrade (town, step 2 of 2)</t>
        </is>
      </c>
      <c r="D63" s="5" t="n"/>
      <c r="E63" s="5" t="inlineStr">
        <is>
          <t>reduce import costs multiplier by a factor of 0,1 and increase export multiplier by a factor of 0,1</t>
        </is>
      </c>
      <c r="F63" s="5" t="n"/>
      <c r="G63" s="5" t="n"/>
      <c r="H63" s="21" t="n">
        <v>12</v>
      </c>
      <c r="I63" s="5" t="inlineStr">
        <is>
          <t>500 goods traded</t>
        </is>
      </c>
      <c r="J63" s="5" t="n"/>
      <c r="K63" s="23" t="n"/>
      <c r="L63" s="7" t="inlineStr">
        <is>
          <t>Second step: needs the first.</t>
        </is>
      </c>
    </row>
    <row r="64" ht="42" customHeight="1" s="46">
      <c r="A64" s="35" t="inlineStr">
        <is>
          <t>Trade</t>
        </is>
      </c>
      <c r="B64" s="5" t="inlineStr">
        <is>
          <t>Goods cart</t>
        </is>
      </c>
      <c r="C64" s="5" t="inlineStr">
        <is>
          <t>Extension</t>
        </is>
      </c>
      <c r="D64" s="5" t="inlineStr">
        <is>
          <t>Trading post</t>
        </is>
      </c>
      <c r="E64" s="5" t="inlineStr">
        <is>
          <t>Allow the builg of a horse to increase carrying capacity by 40 (total)</t>
        </is>
      </c>
      <c r="F64" s="5" t="inlineStr">
        <is>
          <t>1 wood part a year</t>
        </is>
      </c>
      <c r="G64" s="5" t="inlineStr">
        <is>
          <t>10 planks</t>
        </is>
      </c>
      <c r="H64" s="21" t="n">
        <v>4</v>
      </c>
      <c r="I64" s="26" t="inlineStr">
        <is>
          <t>200 goods traded</t>
        </is>
      </c>
      <c r="J64" s="5" t="n"/>
      <c r="K64" s="23" t="n"/>
      <c r="L64" s="7" t="inlineStr">
        <is>
          <t>This is today's pack horse, now behind an extension.</t>
        </is>
      </c>
    </row>
    <row r="65" ht="42" customHeight="1" s="46">
      <c r="A65" s="5" t="inlineStr">
        <is>
          <t>Trade</t>
        </is>
      </c>
      <c r="B65" s="5" t="inlineStr">
        <is>
          <t>Trade Center</t>
        </is>
      </c>
      <c r="C65" s="5" t="inlineStr">
        <is>
          <t>Upgrade</t>
        </is>
      </c>
      <c r="D65" s="5" t="inlineStr">
        <is>
          <t>Trading post</t>
        </is>
      </c>
      <c r="E65" s="5" t="inlineStr">
        <is>
          <t>Space for 2 more workers, twice storing room</t>
        </is>
      </c>
      <c r="F65" s="5" t="n"/>
      <c r="G65" s="5" t="inlineStr">
        <is>
          <t>6 stone, 10 timber</t>
        </is>
      </c>
      <c r="H65" s="21" t="n">
        <v>8</v>
      </c>
      <c r="I65" s="5" t="inlineStr">
        <is>
          <t>600 goods traded</t>
        </is>
      </c>
      <c r="J65" s="5" t="n"/>
      <c r="K65" s="23" t="n"/>
      <c r="L65" s="2" t="n"/>
    </row>
    <row r="66" ht="42" customHeight="1" s="46">
      <c r="A66" s="5" t="inlineStr">
        <is>
          <t>Trade</t>
        </is>
      </c>
      <c r="B66" s="5" t="inlineStr">
        <is>
          <t>Huge ships</t>
        </is>
      </c>
      <c r="C66" s="5" t="inlineStr">
        <is>
          <t>Upgrade</t>
        </is>
      </c>
      <c r="D66" s="5" t="inlineStr">
        <is>
          <t>Docks</t>
        </is>
      </c>
      <c r="E66" s="5" t="inlineStr">
        <is>
          <t>Doubles export per worker</t>
        </is>
      </c>
      <c r="F66" s="13" t="inlineStr">
        <is>
          <t>12 timber, 6 wood parts a year</t>
        </is>
      </c>
      <c r="G66" s="5" t="inlineStr">
        <is>
          <t>12 timber, 20 planks, 6 wood parts</t>
        </is>
      </c>
      <c r="H66" s="21" t="n">
        <v>13</v>
      </c>
      <c r="I66" s="5" t="inlineStr">
        <is>
          <t>1000 goods traded</t>
        </is>
      </c>
      <c r="J66" s="5" t="n"/>
      <c r="K66" s="23" t="n"/>
      <c r="L66" s="7" t="inlineStr">
        <is>
          <t>Upkeep 12 timber and 6 wood parts a month is far above anything else; a year? (5 Questions)</t>
        </is>
      </c>
    </row>
    <row r="67" ht="13.5" customHeight="1" s="46">
      <c r="A67" s="10" t="inlineStr">
        <is>
          <t>Civic</t>
        </is>
      </c>
      <c r="B67" s="10" t="n"/>
      <c r="C67" s="10" t="n"/>
      <c r="D67" s="10" t="n"/>
      <c r="E67" s="10" t="n"/>
      <c r="F67" s="10" t="n"/>
      <c r="G67" s="10" t="n"/>
      <c r="H67" s="10" t="n"/>
      <c r="I67" s="10" t="n"/>
      <c r="J67" s="10" t="n"/>
      <c r="K67" s="10" t="n"/>
      <c r="L67" s="2" t="n"/>
    </row>
    <row r="68" ht="42" customHeight="1" s="46">
      <c r="A68" s="13" t="inlineStr">
        <is>
          <t>Civic</t>
        </is>
      </c>
      <c r="B68" s="13" t="inlineStr">
        <is>
          <t>Expanded draught stable</t>
        </is>
      </c>
      <c r="C68" s="5" t="inlineStr">
        <is>
          <t>Upgrade</t>
        </is>
      </c>
      <c r="D68" s="5" t="inlineStr">
        <is>
          <t>Draught stable</t>
        </is>
      </c>
      <c r="E68" s="5" t="inlineStr">
        <is>
          <t>Same size, double the room (6)</t>
        </is>
      </c>
      <c r="F68" s="5" t="n"/>
      <c r="G68" s="5" t="inlineStr">
        <is>
          <t>4 timber, 6 planks</t>
        </is>
      </c>
      <c r="H68" s="21" t="n">
        <v>8</v>
      </c>
      <c r="I68" s="26" t="inlineStr">
        <is>
          <t>the stable full (3 animals)</t>
        </is>
      </c>
      <c r="J68" s="5" t="n"/>
      <c r="K68" s="23" t="n"/>
      <c r="L68" s="2" t="n"/>
    </row>
    <row r="69" ht="42" customHeight="1" s="46">
      <c r="A69" s="13" t="inlineStr">
        <is>
          <t>Civic</t>
        </is>
      </c>
      <c r="B69" s="13" t="inlineStr">
        <is>
          <t>Mounted guard</t>
        </is>
      </c>
      <c r="C69" s="13" t="inlineStr">
        <is>
          <t>Extension</t>
        </is>
      </c>
      <c r="D69" s="13" t="inlineStr">
        <is>
          <t>Courthouse</t>
        </is>
      </c>
      <c r="E69" s="5" t="inlineStr">
        <is>
          <t>Allows buying horses for the courthouse to increase capacity</t>
        </is>
      </c>
      <c r="F69" s="13" t="inlineStr">
        <is>
          <t>grain for the horses</t>
        </is>
      </c>
      <c r="G69" s="13" t="inlineStr">
        <is>
          <t>6 planks, 4 stone</t>
        </is>
      </c>
      <c r="H69" s="26" t="n">
        <v>8</v>
      </c>
      <c r="I69" s="26" t="inlineStr">
        <is>
          <t>the courthouse at full crew</t>
        </is>
      </c>
      <c r="J69" s="5" t="n"/>
      <c r="K69" s="23" t="n"/>
      <c r="L69" s="2" t="n"/>
    </row>
    <row r="70" ht="42" customHeight="1" s="46">
      <c r="A70" s="13" t="inlineStr">
        <is>
          <t>Civic</t>
        </is>
      </c>
      <c r="B70" s="13" t="inlineStr">
        <is>
          <t>Improved granary</t>
        </is>
      </c>
      <c r="C70" s="13" t="inlineStr">
        <is>
          <t>Upgrade</t>
        </is>
      </c>
      <c r="D70" s="13" t="inlineStr">
        <is>
          <t>Granary</t>
        </is>
      </c>
      <c r="E70" s="5" t="inlineStr">
        <is>
          <t>Double store room and increase worker capacity by 2</t>
        </is>
      </c>
      <c r="F70" s="5" t="n"/>
      <c r="G70" s="13" t="inlineStr">
        <is>
          <t>6 stone, 6 planks</t>
        </is>
      </c>
      <c r="H70" s="26" t="n">
        <v>6</v>
      </c>
      <c r="I70" s="26" t="inlineStr">
        <is>
          <t>300 food stored</t>
        </is>
      </c>
      <c r="J70" s="5" t="n"/>
      <c r="K70" s="23" t="n"/>
      <c r="L70" s="7" t="inlineStr">
        <is>
          <t>Second step of the store chain after the Loft.</t>
        </is>
      </c>
    </row>
    <row r="71" ht="42" customHeight="1" s="46">
      <c r="A71" s="13" t="inlineStr">
        <is>
          <t>Civic</t>
        </is>
      </c>
      <c r="B71" s="13" t="inlineStr">
        <is>
          <t>Improved warehouse</t>
        </is>
      </c>
      <c r="C71" s="13" t="inlineStr">
        <is>
          <t>Upgrade</t>
        </is>
      </c>
      <c r="D71" s="13" t="inlineStr">
        <is>
          <t>Storehouse</t>
        </is>
      </c>
      <c r="E71" s="5" t="inlineStr">
        <is>
          <t>Double store room and increase worker capacity by 2</t>
        </is>
      </c>
      <c r="F71" s="5" t="n"/>
      <c r="G71" s="13" t="inlineStr">
        <is>
          <t>6 stone, 6 planks</t>
        </is>
      </c>
      <c r="H71" s="26" t="n">
        <v>6</v>
      </c>
      <c r="I71" s="26" t="inlineStr">
        <is>
          <t>300 materials stored</t>
        </is>
      </c>
      <c r="J71" s="5" t="n"/>
      <c r="K71" s="23" t="n"/>
      <c r="L71" s="7" t="inlineStr">
        <is>
          <t>Second step of the store chain after the Loft.</t>
        </is>
      </c>
    </row>
    <row r="72" ht="33.75" customHeight="1" s="46">
      <c r="A72" s="13" t="inlineStr">
        <is>
          <t>Civic</t>
        </is>
      </c>
      <c r="B72" s="13" t="inlineStr">
        <is>
          <t>Ox-carts</t>
        </is>
      </c>
      <c r="C72" s="36" t="inlineStr">
        <is>
          <t>Extension</t>
        </is>
      </c>
      <c r="D72" s="36" t="inlineStr">
        <is>
          <t>Storehouse / Granary</t>
        </is>
      </c>
      <c r="E72" s="36" t="inlineStr">
        <is>
          <t>An ox from a draught stable: haulers carry twice as much and go half as far again.</t>
        </is>
      </c>
      <c r="F72" s="13" t="inlineStr">
        <is>
          <t>an ox (stall)</t>
        </is>
      </c>
      <c r="G72" s="13" t="inlineStr">
        <is>
          <t>4 planks, 2 wood parts</t>
        </is>
      </c>
      <c r="H72" s="26" t="n">
        <v>4</v>
      </c>
      <c r="I72" s="26" t="inlineStr">
        <is>
          <t>an improved store and a free stall</t>
        </is>
      </c>
      <c r="J72" s="5" t="n"/>
      <c r="K72" s="23" t="n"/>
      <c r="L72" s="5" t="inlineStr">
        <is>
          <t>Your "carrying capacity by X": I set it to twice the load. An extension rather than an upgrade, since it adds an ox.</t>
        </is>
      </c>
    </row>
    <row r="73" ht="14.25" customHeight="1" s="46">
      <c r="A73" s="13" t="inlineStr">
        <is>
          <t>Looks</t>
        </is>
      </c>
      <c r="B73" s="13" t="inlineStr">
        <is>
          <t>Heraldic banners</t>
        </is>
      </c>
      <c r="C73" s="13" t="inlineStr">
        <is>
          <t>Town option</t>
        </is>
      </c>
      <c r="D73" s="13" t="inlineStr">
        <is>
          <t>Manor</t>
        </is>
      </c>
      <c r="E73" s="13" t="inlineStr">
        <is>
          <t>Banners in the lord's arms on the manor, towers and market: +prestige; cloth and dyes once.</t>
        </is>
      </c>
      <c r="F73" s="13" t="inlineStr">
        <is>
          <t>cloth, dyes (once)</t>
        </is>
      </c>
      <c r="G73" s="13" t="n"/>
      <c r="H73" s="26" t="n">
        <v>2</v>
      </c>
      <c r="I73" s="13" t="n"/>
      <c r="J73" s="13" t="inlineStr">
        <is>
          <t>Uses the arms editor in the town itself.</t>
        </is>
      </c>
      <c r="K73" s="45" t="n"/>
      <c r="L73" s="13" t="inlineStr">
        <is>
          <t>Kept (your answer).</t>
        </is>
      </c>
    </row>
    <row r="74" ht="23.25" customHeight="1" s="46">
      <c r="A74" s="4" t="inlineStr">
        <is>
          <t>Knowledge for all of step 4</t>
        </is>
      </c>
      <c r="B74" s="2" t="n"/>
      <c r="C74" s="2" t="n"/>
      <c r="D74" s="2" t="n"/>
      <c r="E74" s="2" t="n"/>
      <c r="F74" s="2" t="n"/>
      <c r="G74" s="2" t="n"/>
      <c r="H74" s="4">
        <f>SUM(H5:H73)</f>
        <v/>
      </c>
      <c r="I74" s="2" t="n"/>
      <c r="J74" s="2" t="n"/>
      <c r="K74" s="2" t="n"/>
      <c r="L74" s="7" t="inlineStr">
        <is>
          <t>Range now includes the trade and civic rows you added.</t>
        </is>
      </c>
    </row>
    <row r="75" ht="14.25" customHeight="1" s="46">
      <c r="A75" s="8" t="inlineStr">
        <is>
          <t>Knowledge earned in the Borough and City (0 Stages)</t>
        </is>
      </c>
      <c r="B75" s="2" t="n"/>
      <c r="C75" s="2" t="n"/>
      <c r="D75" s="2" t="n"/>
      <c r="E75" s="2" t="n"/>
      <c r="F75" s="2" t="n"/>
      <c r="G75" s="2" t="n"/>
      <c r="H75" s="37">
        <f>'0 Stages'!H8+'0 Stages'!H9</f>
        <v/>
      </c>
      <c r="I75" s="2" t="n"/>
      <c r="J75" s="2" t="n"/>
      <c r="K75" s="2" t="n"/>
      <c r="L75" s="2" t="n"/>
    </row>
    <row r="76" ht="14.25" customHeight="1" s="46">
      <c r="A76" s="8" t="inlineStr">
        <is>
          <t>Left after steps 1-3 and 4</t>
        </is>
      </c>
      <c r="B76" s="2" t="n"/>
      <c r="C76" s="2" t="n"/>
      <c r="D76" s="2" t="n"/>
      <c r="E76" s="2" t="n"/>
      <c r="F76" s="2" t="n"/>
      <c r="G76" s="2" t="n"/>
      <c r="H76" s="37">
        <f>'0 Stages'!H5+'0 Stages'!H6+'0 Stages'!H7+'0 Stages'!H8+'0 Stages'!H9-'1 Budget check'!D10-H74</f>
        <v/>
      </c>
      <c r="I76" s="2" t="n"/>
      <c r="J76" s="2" t="n"/>
      <c r="K76" s="2" t="n"/>
      <c r="L76" s="2" t="n"/>
    </row>
    <row r="77" ht="14.25" customHeight="1" s="46">
      <c r="A77" s="2" t="n"/>
      <c r="B77" s="2" t="n"/>
      <c r="C77" s="2" t="n"/>
      <c r="D77" s="2" t="n"/>
      <c r="E77" s="2" t="n"/>
      <c r="F77" s="2" t="n"/>
      <c r="G77" s="2" t="n"/>
      <c r="H77" s="2" t="n"/>
      <c r="I77" s="2" t="n"/>
      <c r="J77" s="2" t="n"/>
      <c r="K77" s="2" t="n"/>
      <c r="L77" s="2" t="n"/>
    </row>
    <row r="78" ht="14.25" customHeight="1" s="46">
      <c r="A78" s="3" t="inlineStr">
        <is>
          <t>Left for step 7 (the shape of the learning panel) and for charters to interact with. Choices are counted once even though only one side is taken.</t>
        </is>
      </c>
      <c r="B78" s="2" t="n"/>
      <c r="C78" s="2" t="n"/>
      <c r="D78" s="2" t="n"/>
      <c r="E78" s="2" t="n"/>
      <c r="F78" s="2" t="n"/>
      <c r="G78" s="2" t="n"/>
      <c r="H78" s="2" t="n"/>
      <c r="I78" s="2" t="n"/>
      <c r="J78" s="2" t="n"/>
      <c r="K78" s="2" t="n"/>
      <c r="L78" s="2" t="n"/>
    </row>
    <row r="79" ht="14.25" customHeight="1" s="46">
      <c r="A79" s="2" t="n"/>
      <c r="B79" s="2" t="n"/>
      <c r="C79" s="2" t="n"/>
      <c r="D79" s="2" t="n"/>
      <c r="E79" s="2" t="n"/>
      <c r="F79" s="2" t="n"/>
      <c r="G79" s="2" t="n"/>
      <c r="H79" s="2" t="n"/>
      <c r="I79" s="2" t="n"/>
      <c r="J79" s="2" t="n"/>
      <c r="K79" s="2" t="n"/>
      <c r="L79" s="2" t="n"/>
    </row>
    <row r="80" ht="14.25" customHeight="1" s="46">
      <c r="A80" s="38" t="inlineStr">
        <is>
          <t>Price multiplier for step 4 (your lever: late unlocks should take many years)</t>
        </is>
      </c>
      <c r="B80" s="2" t="n"/>
      <c r="C80" s="2" t="n"/>
      <c r="D80" s="2" t="n"/>
      <c r="E80" s="2" t="n"/>
      <c r="F80" s="2" t="n"/>
      <c r="G80" s="2" t="n"/>
      <c r="H80" s="39" t="n">
        <v>4</v>
      </c>
      <c r="I80" s="2" t="n"/>
      <c r="J80" s="2" t="n"/>
      <c r="K80" s="2" t="n"/>
      <c r="L80" s="2" t="n"/>
    </row>
    <row r="81" ht="14.25" customHeight="1" s="46">
      <c r="A81" s="7" t="inlineStr">
        <is>
          <t>Step 4 at that price</t>
        </is>
      </c>
      <c r="B81" s="2" t="n"/>
      <c r="C81" s="2" t="n"/>
      <c r="D81" s="2" t="n"/>
      <c r="E81" s="2" t="n"/>
      <c r="F81" s="2" t="n"/>
      <c r="G81" s="2" t="n"/>
      <c r="H81" s="2">
        <f>H74*H80</f>
        <v/>
      </c>
      <c r="I81" s="2" t="n"/>
      <c r="J81" s="2" t="n"/>
      <c r="K81" s="2" t="n"/>
      <c r="L81" s="2" t="n"/>
    </row>
    <row r="82" ht="14.25" customHeight="1" s="46">
      <c r="A82" s="7" t="inlineStr">
        <is>
          <t>Left after steps 1-4 at that price, by the end of the City</t>
        </is>
      </c>
      <c r="B82" s="2" t="n"/>
      <c r="C82" s="2" t="n"/>
      <c r="D82" s="2" t="n"/>
      <c r="E82" s="2" t="n"/>
      <c r="F82" s="2" t="n"/>
      <c r="G82" s="2" t="n"/>
      <c r="H82" s="40">
        <f>'0 Stages'!H5+'0 Stages'!H6+'0 Stages'!H7+'0 Stages'!H8+'0 Stages'!H9-'1 Budget check'!D10-H81</f>
        <v/>
      </c>
      <c r="I82" s="2" t="n"/>
      <c r="J82" s="2" t="n"/>
      <c r="K82" s="2" t="n"/>
      <c r="L82" s="2" t="n"/>
    </row>
    <row r="83" ht="14.25" customHeight="1" s="46">
      <c r="A83" s="7" t="inlineStr">
        <is>
          <t>Share of all knowledge the game offers that steps 1-4 then take</t>
        </is>
      </c>
      <c r="B83" s="2" t="n"/>
      <c r="C83" s="2" t="n"/>
      <c r="D83" s="2" t="n"/>
      <c r="E83" s="2" t="n"/>
      <c r="F83" s="2" t="n"/>
      <c r="G83" s="2" t="n"/>
      <c r="H83" s="41">
        <f>('1 Budget check'!D10+H81)/('0 Stages'!H5+'0 Stages'!H6+'0 Stages'!H7+'0 Stages'!H8+'0 Stages'!H9)</f>
        <v/>
      </c>
      <c r="I83" s="2" t="n"/>
      <c r="J83" s="2" t="n"/>
      <c r="K83" s="2" t="n"/>
      <c r="L83" s="2" t="n"/>
    </row>
    <row r="84" ht="14.25" customHeight="1" s="46">
      <c r="A84" s="42" t="inlineStr">
        <is>
          <t>Steps 1-3 stay at their prices (they hold the essentials). The rest of the gap is for big City projects (step 7).</t>
        </is>
      </c>
      <c r="B84" s="2" t="n"/>
      <c r="C84" s="2" t="n"/>
      <c r="D84" s="2" t="n"/>
      <c r="E84" s="2" t="n"/>
      <c r="F84" s="2" t="n"/>
      <c r="G84" s="2" t="n"/>
      <c r="H84" s="2" t="n"/>
      <c r="I84" s="2" t="n"/>
      <c r="J84" s="2" t="n"/>
      <c r="K84" s="2" t="n"/>
      <c r="L84" s="2" t="n"/>
    </row>
    <row r="85" ht="14.25" customHeight="1" s="46">
      <c r="A85" s="2" t="n"/>
      <c r="B85" s="2" t="n"/>
      <c r="C85" s="2" t="n"/>
      <c r="D85" s="2" t="n"/>
      <c r="E85" s="2" t="n"/>
      <c r="F85" s="2" t="n"/>
      <c r="G85" s="2" t="n"/>
      <c r="H85" s="2" t="n"/>
      <c r="I85" s="2" t="n"/>
      <c r="J85" s="2" t="n"/>
      <c r="K85" s="2" t="n"/>
      <c r="L85" s="2" t="n"/>
    </row>
    <row r="86" ht="14.25" customHeight="1" s="46">
      <c r="A86" s="2" t="n"/>
      <c r="B86" s="2" t="n"/>
      <c r="C86" s="2" t="n"/>
      <c r="D86" s="2" t="n"/>
      <c r="E86" s="2" t="n"/>
      <c r="F86" s="2" t="n"/>
      <c r="G86" s="2" t="n"/>
      <c r="H86" s="2" t="n"/>
      <c r="I86" s="2" t="n"/>
      <c r="J86" s="2" t="n"/>
      <c r="K86" s="2" t="n"/>
      <c r="L86" s="2" t="n"/>
    </row>
    <row r="87" ht="14.25" customHeight="1" s="46">
      <c r="A87" s="2" t="n"/>
      <c r="B87" s="2" t="n"/>
      <c r="C87" s="2" t="n"/>
      <c r="D87" s="2" t="n"/>
      <c r="E87" s="2" t="n"/>
      <c r="F87" s="2" t="n"/>
      <c r="G87" s="2" t="n"/>
      <c r="H87" s="2" t="n"/>
      <c r="I87" s="2" t="n"/>
      <c r="J87" s="2" t="n"/>
      <c r="K87" s="2" t="n"/>
      <c r="L87" s="2" t="n"/>
    </row>
    <row r="88" ht="14.25" customHeight="1" s="46">
      <c r="A88" s="2" t="n"/>
      <c r="B88" s="2" t="n"/>
      <c r="C88" s="2" t="n"/>
      <c r="D88" s="2" t="n"/>
      <c r="E88" s="2" t="n"/>
      <c r="F88" s="2" t="n"/>
      <c r="G88" s="2" t="n"/>
      <c r="H88" s="2" t="n"/>
      <c r="I88" s="2" t="n"/>
      <c r="J88" s="2" t="n"/>
      <c r="K88" s="2" t="n"/>
      <c r="L88" s="2" t="n"/>
    </row>
    <row r="89" ht="14.25" customHeight="1" s="46">
      <c r="A89" s="2" t="n"/>
      <c r="B89" s="2" t="n"/>
      <c r="C89" s="2" t="n"/>
      <c r="D89" s="2" t="n"/>
      <c r="E89" s="2" t="n"/>
      <c r="F89" s="2" t="n"/>
      <c r="G89" s="2" t="n"/>
      <c r="H89" s="2" t="n"/>
      <c r="I89" s="2" t="n"/>
      <c r="J89" s="2" t="n"/>
      <c r="K89" s="2" t="n"/>
      <c r="L89" s="2" t="n"/>
    </row>
    <row r="90" ht="14.25" customHeight="1" s="46">
      <c r="A90" s="2" t="n"/>
      <c r="B90" s="2" t="n"/>
      <c r="C90" s="2" t="n"/>
      <c r="D90" s="2" t="n"/>
      <c r="E90" s="2" t="n"/>
      <c r="F90" s="2" t="n"/>
      <c r="G90" s="2" t="n"/>
      <c r="H90" s="2" t="n"/>
      <c r="I90" s="2" t="n"/>
      <c r="J90" s="2" t="n"/>
      <c r="K90" s="2" t="n"/>
      <c r="L90" s="2" t="n"/>
    </row>
    <row r="91" ht="14.25" customHeight="1" s="46">
      <c r="A91" s="2" t="n"/>
      <c r="B91" s="2" t="n"/>
      <c r="C91" s="2" t="n"/>
      <c r="D91" s="2" t="n"/>
      <c r="E91" s="2" t="n"/>
      <c r="F91" s="2" t="n"/>
      <c r="G91" s="2" t="n"/>
      <c r="H91" s="2" t="n"/>
      <c r="I91" s="2" t="n"/>
      <c r="J91" s="2" t="n"/>
      <c r="K91" s="2" t="n"/>
      <c r="L91" s="2" t="n"/>
    </row>
    <row r="92" ht="14.25" customHeight="1" s="46">
      <c r="A92" s="2" t="n"/>
      <c r="B92" s="2" t="n"/>
      <c r="C92" s="2" t="n"/>
      <c r="D92" s="2" t="n"/>
      <c r="E92" s="2" t="n"/>
      <c r="F92" s="2" t="n"/>
      <c r="G92" s="2" t="n"/>
      <c r="H92" s="2" t="n"/>
      <c r="I92" s="2" t="n"/>
      <c r="J92" s="2" t="n"/>
      <c r="K92" s="2" t="n"/>
      <c r="L92" s="2" t="n"/>
    </row>
    <row r="93" ht="14.25" customHeight="1" s="46">
      <c r="A93" s="2" t="n"/>
      <c r="B93" s="2" t="n"/>
      <c r="C93" s="2" t="n"/>
      <c r="D93" s="2" t="n"/>
      <c r="E93" s="2" t="n"/>
      <c r="F93" s="2" t="n"/>
      <c r="G93" s="2" t="n"/>
      <c r="H93" s="2" t="n"/>
      <c r="I93" s="2" t="n"/>
      <c r="J93" s="2" t="n"/>
      <c r="K93" s="2" t="n"/>
      <c r="L93" s="2" t="n"/>
    </row>
    <row r="94" ht="14.25" customHeight="1" s="46">
      <c r="A94" s="2" t="n"/>
      <c r="B94" s="2" t="n"/>
      <c r="C94" s="2" t="n"/>
      <c r="D94" s="2" t="n"/>
      <c r="E94" s="2" t="n"/>
      <c r="F94" s="2" t="n"/>
      <c r="G94" s="2" t="n"/>
      <c r="H94" s="2" t="n"/>
      <c r="I94" s="2" t="n"/>
      <c r="J94" s="2" t="n"/>
      <c r="K94" s="2" t="n"/>
      <c r="L94" s="2" t="n"/>
    </row>
    <row r="95" ht="14.25" customHeight="1" s="46">
      <c r="A95" s="2" t="n"/>
      <c r="B95" s="2" t="n"/>
      <c r="C95" s="2" t="n"/>
      <c r="D95" s="2" t="n"/>
      <c r="E95" s="2" t="n"/>
      <c r="F95" s="2" t="n"/>
      <c r="G95" s="2" t="n"/>
      <c r="H95" s="2" t="n"/>
      <c r="I95" s="2" t="n"/>
      <c r="J95" s="2" t="n"/>
      <c r="K95" s="2" t="n"/>
      <c r="L95" s="2" t="n"/>
    </row>
    <row r="96" ht="14.25" customHeight="1" s="46">
      <c r="A96" s="2" t="n"/>
      <c r="B96" s="2" t="n"/>
      <c r="C96" s="2" t="n"/>
      <c r="D96" s="2" t="n"/>
      <c r="E96" s="2" t="n"/>
      <c r="F96" s="2" t="n"/>
      <c r="G96" s="2" t="n"/>
      <c r="H96" s="2" t="n"/>
      <c r="I96" s="2" t="n"/>
      <c r="J96" s="2" t="n"/>
      <c r="K96" s="2" t="n"/>
      <c r="L96" s="2" t="n"/>
    </row>
    <row r="97" ht="14.25" customHeight="1" s="46">
      <c r="A97" s="2" t="n"/>
      <c r="B97" s="2" t="n"/>
      <c r="C97" s="2" t="n"/>
      <c r="D97" s="2" t="n"/>
      <c r="E97" s="2" t="n"/>
      <c r="F97" s="2" t="n"/>
      <c r="G97" s="2" t="n"/>
      <c r="H97" s="2" t="n"/>
      <c r="I97" s="2" t="n"/>
      <c r="J97" s="2" t="n"/>
      <c r="K97" s="2" t="n"/>
      <c r="L97" s="2" t="n"/>
    </row>
    <row r="98" ht="14.25" customHeight="1" s="46">
      <c r="A98" s="2" t="n"/>
      <c r="B98" s="2" t="n"/>
      <c r="C98" s="2" t="n"/>
      <c r="D98" s="2" t="n"/>
      <c r="E98" s="2" t="n"/>
      <c r="F98" s="2" t="n"/>
      <c r="G98" s="2" t="n"/>
      <c r="H98" s="2" t="n"/>
      <c r="I98" s="2" t="n"/>
      <c r="J98" s="2" t="n"/>
      <c r="K98" s="2" t="n"/>
      <c r="L98" s="2" t="n"/>
    </row>
    <row r="99" ht="14.25" customHeight="1" s="46">
      <c r="A99" s="2" t="n"/>
      <c r="B99" s="2" t="n"/>
      <c r="C99" s="2" t="n"/>
      <c r="D99" s="2" t="n"/>
      <c r="E99" s="2" t="n"/>
      <c r="F99" s="2" t="n"/>
      <c r="G99" s="2" t="n"/>
      <c r="H99" s="2" t="n"/>
      <c r="I99" s="2" t="n"/>
      <c r="J99" s="2" t="n"/>
      <c r="K99" s="2" t="n"/>
      <c r="L99" s="2" t="n"/>
    </row>
    <row r="100" ht="14.25" customHeight="1" s="46">
      <c r="A100" s="2" t="n"/>
      <c r="B100" s="2" t="n"/>
      <c r="C100" s="2" t="n"/>
      <c r="D100" s="2" t="n"/>
      <c r="E100" s="2" t="n"/>
      <c r="F100" s="2" t="n"/>
      <c r="G100" s="2" t="n"/>
      <c r="H100" s="2" t="n"/>
      <c r="I100" s="2" t="n"/>
      <c r="J100" s="2" t="n"/>
      <c r="K100" s="2" t="n"/>
      <c r="L100" s="2" t="n"/>
    </row>
    <row r="101" ht="14.25" customHeight="1" s="46">
      <c r="A101" s="2" t="n"/>
      <c r="B101" s="2" t="n"/>
      <c r="C101" s="2" t="n"/>
      <c r="D101" s="2" t="n"/>
      <c r="E101" s="2" t="n"/>
      <c r="F101" s="2" t="n"/>
      <c r="G101" s="2" t="n"/>
      <c r="H101" s="2" t="n"/>
      <c r="I101" s="2" t="n"/>
      <c r="J101" s="2" t="n"/>
      <c r="K101" s="2" t="n"/>
      <c r="L101" s="2" t="n"/>
    </row>
    <row r="102" ht="14.25" customHeight="1" s="46">
      <c r="A102" s="2" t="n"/>
      <c r="B102" s="2" t="n"/>
      <c r="C102" s="2" t="n"/>
      <c r="D102" s="2" t="n"/>
      <c r="E102" s="2" t="n"/>
      <c r="F102" s="2" t="n"/>
      <c r="G102" s="2" t="n"/>
      <c r="H102" s="2" t="n"/>
      <c r="I102" s="2" t="n"/>
      <c r="J102" s="2" t="n"/>
      <c r="K102" s="2" t="n"/>
      <c r="L102" s="2" t="n"/>
    </row>
    <row r="103" ht="14.25" customHeight="1" s="46">
      <c r="A103" s="2" t="n"/>
      <c r="B103" s="2" t="n"/>
      <c r="C103" s="2" t="n"/>
      <c r="D103" s="2" t="n"/>
      <c r="E103" s="2" t="n"/>
      <c r="F103" s="2" t="n"/>
      <c r="G103" s="2" t="n"/>
      <c r="H103" s="2" t="n"/>
      <c r="I103" s="2" t="n"/>
      <c r="J103" s="2" t="n"/>
      <c r="K103" s="2" t="n"/>
      <c r="L103" s="2" t="n"/>
    </row>
    <row r="104" ht="14.25" customHeight="1" s="46">
      <c r="A104" s="2" t="n"/>
      <c r="B104" s="2" t="n"/>
      <c r="C104" s="2" t="n"/>
      <c r="D104" s="2" t="n"/>
      <c r="E104" s="2" t="n"/>
      <c r="F104" s="2" t="n"/>
      <c r="G104" s="2" t="n"/>
      <c r="H104" s="2" t="n"/>
      <c r="I104" s="2" t="n"/>
      <c r="J104" s="2" t="n"/>
      <c r="K104" s="2" t="n"/>
      <c r="L104" s="2" t="n"/>
    </row>
    <row r="105" ht="14.25" customHeight="1" s="46">
      <c r="A105" s="2" t="n"/>
      <c r="B105" s="2" t="n"/>
      <c r="C105" s="2" t="n"/>
      <c r="D105" s="2" t="n"/>
      <c r="E105" s="2" t="n"/>
      <c r="F105" s="2" t="n"/>
      <c r="G105" s="2" t="n"/>
      <c r="H105" s="2" t="n"/>
      <c r="I105" s="2" t="n"/>
      <c r="J105" s="2" t="n"/>
      <c r="K105" s="2" t="n"/>
      <c r="L105" s="2" t="n"/>
    </row>
    <row r="106" ht="14.25" customHeight="1" s="46">
      <c r="A106" s="2" t="n"/>
      <c r="B106" s="2" t="n"/>
      <c r="C106" s="2" t="n"/>
      <c r="D106" s="2" t="n"/>
      <c r="E106" s="2" t="n"/>
      <c r="F106" s="2" t="n"/>
      <c r="G106" s="2" t="n"/>
      <c r="H106" s="2" t="n"/>
      <c r="I106" s="2" t="n"/>
      <c r="J106" s="2" t="n"/>
      <c r="K106" s="2" t="n"/>
      <c r="L106" s="2" t="n"/>
    </row>
    <row r="107" ht="14.25" customHeight="1" s="46">
      <c r="A107" s="2" t="n"/>
      <c r="B107" s="2" t="n"/>
      <c r="C107" s="2" t="n"/>
      <c r="D107" s="2" t="n"/>
      <c r="E107" s="2" t="n"/>
      <c r="F107" s="2" t="n"/>
      <c r="G107" s="2" t="n"/>
      <c r="H107" s="2" t="n"/>
      <c r="I107" s="2" t="n"/>
      <c r="J107" s="2" t="n"/>
      <c r="K107" s="2" t="n"/>
      <c r="L107" s="2" t="n"/>
    </row>
    <row r="108" ht="14.25" customHeight="1" s="46">
      <c r="A108" s="2" t="n"/>
      <c r="B108" s="2" t="n"/>
      <c r="C108" s="2" t="n"/>
      <c r="D108" s="2" t="n"/>
      <c r="E108" s="2" t="n"/>
      <c r="F108" s="2" t="n"/>
      <c r="G108" s="2" t="n"/>
      <c r="H108" s="2" t="n"/>
      <c r="I108" s="2" t="n"/>
      <c r="J108" s="2" t="n"/>
      <c r="K108" s="2" t="n"/>
      <c r="L108" s="2" t="n"/>
    </row>
    <row r="109" ht="14.25" customHeight="1" s="46">
      <c r="A109" s="2" t="n"/>
      <c r="B109" s="2" t="n"/>
      <c r="C109" s="2" t="n"/>
      <c r="D109" s="2" t="n"/>
      <c r="E109" s="2" t="n"/>
      <c r="F109" s="2" t="n"/>
      <c r="G109" s="2" t="n"/>
      <c r="H109" s="2" t="n"/>
      <c r="I109" s="2" t="n"/>
      <c r="J109" s="2" t="n"/>
      <c r="K109" s="2" t="n"/>
      <c r="L109" s="2" t="n"/>
    </row>
    <row r="110" ht="14.25" customHeight="1" s="46">
      <c r="A110" s="2" t="n"/>
      <c r="B110" s="2" t="n"/>
      <c r="C110" s="2" t="n"/>
      <c r="D110" s="2" t="n"/>
      <c r="E110" s="2" t="n"/>
      <c r="F110" s="2" t="n"/>
      <c r="G110" s="2" t="n"/>
      <c r="H110" s="2" t="n"/>
      <c r="I110" s="2" t="n"/>
      <c r="J110" s="2" t="n"/>
      <c r="K110" s="2" t="n"/>
      <c r="L110" s="2" t="n"/>
    </row>
    <row r="111" ht="14.25" customHeight="1" s="46">
      <c r="A111" s="2" t="n"/>
      <c r="B111" s="2" t="n"/>
      <c r="C111" s="2" t="n"/>
      <c r="D111" s="2" t="n"/>
      <c r="E111" s="2" t="n"/>
      <c r="F111" s="2" t="n"/>
      <c r="G111" s="2" t="n"/>
      <c r="H111" s="2" t="n"/>
      <c r="I111" s="2" t="n"/>
      <c r="J111" s="2" t="n"/>
      <c r="K111" s="2" t="n"/>
      <c r="L111" s="2" t="n"/>
    </row>
    <row r="112" ht="14.25" customHeight="1" s="46">
      <c r="A112" s="2" t="n"/>
      <c r="B112" s="2" t="n"/>
      <c r="C112" s="2" t="n"/>
      <c r="D112" s="2" t="n"/>
      <c r="E112" s="2" t="n"/>
      <c r="F112" s="2" t="n"/>
      <c r="G112" s="2" t="n"/>
      <c r="H112" s="2" t="n"/>
      <c r="I112" s="2" t="n"/>
      <c r="J112" s="2" t="n"/>
      <c r="K112" s="2" t="n"/>
      <c r="L112" s="2" t="n"/>
    </row>
    <row r="113" ht="14.25" customHeight="1" s="46">
      <c r="A113" s="2" t="n"/>
      <c r="B113" s="2" t="n"/>
      <c r="C113" s="2" t="n"/>
      <c r="D113" s="2" t="n"/>
      <c r="E113" s="2" t="n"/>
      <c r="F113" s="2" t="n"/>
      <c r="G113" s="2" t="n"/>
      <c r="H113" s="2" t="n"/>
      <c r="I113" s="2" t="n"/>
      <c r="J113" s="2" t="n"/>
      <c r="K113" s="2" t="n"/>
      <c r="L113" s="2" t="n"/>
    </row>
    <row r="114" ht="14.25" customHeight="1" s="46">
      <c r="A114" s="2" t="n"/>
      <c r="B114" s="2" t="n"/>
      <c r="C114" s="2" t="n"/>
      <c r="D114" s="2" t="n"/>
      <c r="E114" s="2" t="n"/>
      <c r="F114" s="2" t="n"/>
      <c r="G114" s="2" t="n"/>
      <c r="H114" s="2" t="n"/>
      <c r="I114" s="2" t="n"/>
      <c r="J114" s="2" t="n"/>
      <c r="K114" s="2" t="n"/>
      <c r="L114" s="2" t="n"/>
    </row>
    <row r="115" ht="14.25" customHeight="1" s="46">
      <c r="A115" s="2" t="n"/>
      <c r="B115" s="2" t="n"/>
      <c r="C115" s="2" t="n"/>
      <c r="D115" s="2" t="n"/>
      <c r="E115" s="2" t="n"/>
      <c r="F115" s="2" t="n"/>
      <c r="G115" s="2" t="n"/>
      <c r="H115" s="2" t="n"/>
      <c r="I115" s="2" t="n"/>
      <c r="J115" s="2" t="n"/>
      <c r="K115" s="2" t="n"/>
      <c r="L115" s="2" t="n"/>
    </row>
    <row r="116" ht="14.25" customHeight="1" s="46">
      <c r="A116" s="2" t="n"/>
      <c r="B116" s="2" t="n"/>
      <c r="C116" s="2" t="n"/>
      <c r="D116" s="2" t="n"/>
      <c r="E116" s="2" t="n"/>
      <c r="F116" s="2" t="n"/>
      <c r="G116" s="2" t="n"/>
      <c r="H116" s="2" t="n"/>
      <c r="I116" s="2" t="n"/>
      <c r="J116" s="2" t="n"/>
      <c r="K116" s="2" t="n"/>
      <c r="L116" s="2" t="n"/>
    </row>
    <row r="117" ht="14.25" customHeight="1" s="46">
      <c r="A117" s="2" t="n"/>
      <c r="B117" s="2" t="n"/>
      <c r="C117" s="2" t="n"/>
      <c r="D117" s="2" t="n"/>
      <c r="E117" s="2" t="n"/>
      <c r="F117" s="2" t="n"/>
      <c r="G117" s="2" t="n"/>
      <c r="H117" s="2" t="n"/>
      <c r="I117" s="2" t="n"/>
      <c r="J117" s="2" t="n"/>
      <c r="K117" s="2" t="n"/>
      <c r="L117" s="2" t="n"/>
    </row>
    <row r="118" ht="14.25" customHeight="1" s="46">
      <c r="A118" s="2" t="n"/>
      <c r="B118" s="2" t="n"/>
      <c r="C118" s="2" t="n"/>
      <c r="D118" s="2" t="n"/>
      <c r="E118" s="2" t="n"/>
      <c r="F118" s="2" t="n"/>
      <c r="G118" s="2" t="n"/>
      <c r="H118" s="2" t="n"/>
      <c r="I118" s="2" t="n"/>
      <c r="J118" s="2" t="n"/>
      <c r="K118" s="2" t="n"/>
      <c r="L118" s="2" t="n"/>
    </row>
    <row r="119" ht="14.25" customHeight="1" s="46">
      <c r="A119" s="2" t="n"/>
      <c r="B119" s="2" t="n"/>
      <c r="C119" s="2" t="n"/>
      <c r="D119" s="2" t="n"/>
      <c r="E119" s="2" t="n"/>
      <c r="F119" s="2" t="n"/>
      <c r="G119" s="2" t="n"/>
      <c r="H119" s="2" t="n"/>
      <c r="I119" s="2" t="n"/>
      <c r="J119" s="2" t="n"/>
      <c r="K119" s="2" t="n"/>
      <c r="L119" s="2" t="n"/>
    </row>
    <row r="120" ht="14.25" customHeight="1" s="46">
      <c r="A120" s="2" t="n"/>
      <c r="B120" s="2" t="n"/>
      <c r="C120" s="2" t="n"/>
      <c r="D120" s="2" t="n"/>
      <c r="E120" s="2" t="n"/>
      <c r="F120" s="2" t="n"/>
      <c r="G120" s="2" t="n"/>
      <c r="H120" s="2" t="n"/>
      <c r="I120" s="2" t="n"/>
      <c r="J120" s="2" t="n"/>
      <c r="K120" s="2" t="n"/>
      <c r="L120" s="2" t="n"/>
    </row>
    <row r="121" ht="14.25" customHeight="1" s="46">
      <c r="A121" s="2" t="n"/>
      <c r="B121" s="2" t="n"/>
      <c r="C121" s="2" t="n"/>
      <c r="D121" s="2" t="n"/>
      <c r="E121" s="2" t="n"/>
      <c r="F121" s="2" t="n"/>
      <c r="G121" s="2" t="n"/>
      <c r="H121" s="2" t="n"/>
      <c r="I121" s="2" t="n"/>
      <c r="J121" s="2" t="n"/>
      <c r="K121" s="2" t="n"/>
      <c r="L121" s="2" t="n"/>
    </row>
    <row r="122" ht="14.25" customHeight="1" s="46">
      <c r="A122" s="2" t="n"/>
      <c r="B122" s="2" t="n"/>
      <c r="C122" s="2" t="n"/>
      <c r="D122" s="2" t="n"/>
      <c r="E122" s="2" t="n"/>
      <c r="F122" s="2" t="n"/>
      <c r="G122" s="2" t="n"/>
      <c r="H122" s="2" t="n"/>
      <c r="I122" s="2" t="n"/>
      <c r="J122" s="2" t="n"/>
      <c r="K122" s="2" t="n"/>
      <c r="L122" s="2" t="n"/>
    </row>
    <row r="123" ht="14.25" customHeight="1" s="46">
      <c r="A123" s="2" t="n"/>
      <c r="B123" s="2" t="n"/>
      <c r="C123" s="2" t="n"/>
      <c r="D123" s="2" t="n"/>
      <c r="E123" s="2" t="n"/>
      <c r="F123" s="2" t="n"/>
      <c r="G123" s="2" t="n"/>
      <c r="H123" s="2" t="n"/>
      <c r="I123" s="2" t="n"/>
      <c r="J123" s="2" t="n"/>
      <c r="K123" s="2" t="n"/>
      <c r="L123" s="2" t="n"/>
    </row>
    <row r="124" ht="14.25" customHeight="1" s="46">
      <c r="A124" s="2" t="n"/>
      <c r="B124" s="2" t="n"/>
      <c r="C124" s="2" t="n"/>
      <c r="D124" s="2" t="n"/>
      <c r="E124" s="2" t="n"/>
      <c r="F124" s="2" t="n"/>
      <c r="G124" s="2" t="n"/>
      <c r="H124" s="2" t="n"/>
      <c r="I124" s="2" t="n"/>
      <c r="J124" s="2" t="n"/>
      <c r="K124" s="2" t="n"/>
      <c r="L124" s="2" t="n"/>
    </row>
    <row r="125" ht="14.25" customHeight="1" s="46">
      <c r="A125" s="2" t="n"/>
      <c r="B125" s="2" t="n"/>
      <c r="C125" s="2" t="n"/>
      <c r="D125" s="2" t="n"/>
      <c r="E125" s="2" t="n"/>
      <c r="F125" s="2" t="n"/>
      <c r="G125" s="2" t="n"/>
      <c r="H125" s="2" t="n"/>
      <c r="I125" s="2" t="n"/>
      <c r="J125" s="2" t="n"/>
      <c r="K125" s="2" t="n"/>
      <c r="L125" s="2" t="n"/>
    </row>
    <row r="126" ht="14.25" customHeight="1" s="46">
      <c r="A126" s="2" t="n"/>
      <c r="B126" s="2" t="n"/>
      <c r="C126" s="2" t="n"/>
      <c r="D126" s="2" t="n"/>
      <c r="E126" s="2" t="n"/>
      <c r="F126" s="2" t="n"/>
      <c r="G126" s="2" t="n"/>
      <c r="H126" s="2" t="n"/>
      <c r="I126" s="2" t="n"/>
      <c r="J126" s="2" t="n"/>
      <c r="K126" s="2" t="n"/>
      <c r="L126" s="2" t="n"/>
    </row>
    <row r="127" ht="14.25" customHeight="1" s="46">
      <c r="A127" s="2" t="n"/>
      <c r="B127" s="2" t="n"/>
      <c r="C127" s="2" t="n"/>
      <c r="D127" s="2" t="n"/>
      <c r="E127" s="2" t="n"/>
      <c r="F127" s="2" t="n"/>
      <c r="G127" s="2" t="n"/>
      <c r="H127" s="2" t="n"/>
      <c r="I127" s="2" t="n"/>
      <c r="J127" s="2" t="n"/>
      <c r="K127" s="2" t="n"/>
      <c r="L127" s="2" t="n"/>
    </row>
    <row r="128" ht="14.25" customHeight="1" s="46">
      <c r="A128" s="2" t="n"/>
      <c r="B128" s="2" t="n"/>
      <c r="C128" s="2" t="n"/>
      <c r="D128" s="2" t="n"/>
      <c r="E128" s="2" t="n"/>
      <c r="F128" s="2" t="n"/>
      <c r="G128" s="2" t="n"/>
      <c r="H128" s="2" t="n"/>
      <c r="I128" s="2" t="n"/>
      <c r="J128" s="2" t="n"/>
      <c r="K128" s="2" t="n"/>
      <c r="L128" s="2" t="n"/>
    </row>
    <row r="129" ht="14.25" customHeight="1" s="46">
      <c r="A129" s="2" t="n"/>
      <c r="B129" s="2" t="n"/>
      <c r="C129" s="2" t="n"/>
      <c r="D129" s="2" t="n"/>
      <c r="E129" s="2" t="n"/>
      <c r="F129" s="2" t="n"/>
      <c r="G129" s="2" t="n"/>
      <c r="H129" s="2" t="n"/>
      <c r="I129" s="2" t="n"/>
      <c r="J129" s="2" t="n"/>
      <c r="K129" s="2" t="n"/>
      <c r="L129" s="2" t="n"/>
    </row>
    <row r="130" ht="14.25" customHeight="1" s="46">
      <c r="A130" s="2" t="n"/>
      <c r="B130" s="2" t="n"/>
      <c r="C130" s="2" t="n"/>
      <c r="D130" s="2" t="n"/>
      <c r="E130" s="2" t="n"/>
      <c r="F130" s="2" t="n"/>
      <c r="G130" s="2" t="n"/>
      <c r="H130" s="2" t="n"/>
      <c r="I130" s="2" t="n"/>
      <c r="J130" s="2" t="n"/>
      <c r="K130" s="2" t="n"/>
      <c r="L130" s="2" t="n"/>
    </row>
    <row r="131" ht="14.25" customHeight="1" s="46">
      <c r="A131" s="2" t="n"/>
      <c r="B131" s="2" t="n"/>
      <c r="C131" s="2" t="n"/>
      <c r="D131" s="2" t="n"/>
      <c r="E131" s="2" t="n"/>
      <c r="F131" s="2" t="n"/>
      <c r="G131" s="2" t="n"/>
      <c r="H131" s="2" t="n"/>
      <c r="I131" s="2" t="n"/>
      <c r="J131" s="2" t="n"/>
      <c r="K131" s="2" t="n"/>
      <c r="L131" s="2" t="n"/>
    </row>
    <row r="132" ht="14.25" customHeight="1" s="46">
      <c r="A132" s="2" t="n"/>
      <c r="B132" s="2" t="n"/>
      <c r="C132" s="2" t="n"/>
      <c r="D132" s="2" t="n"/>
      <c r="E132" s="2" t="n"/>
      <c r="F132" s="2" t="n"/>
      <c r="G132" s="2" t="n"/>
      <c r="H132" s="2" t="n"/>
      <c r="I132" s="2" t="n"/>
      <c r="J132" s="2" t="n"/>
      <c r="K132" s="2" t="n"/>
      <c r="L132" s="2" t="n"/>
    </row>
    <row r="133" ht="14.25" customHeight="1" s="46">
      <c r="A133" s="2" t="n"/>
      <c r="B133" s="2" t="n"/>
      <c r="C133" s="2" t="n"/>
      <c r="D133" s="2" t="n"/>
      <c r="E133" s="2" t="n"/>
      <c r="F133" s="2" t="n"/>
      <c r="G133" s="2" t="n"/>
      <c r="H133" s="2" t="n"/>
      <c r="I133" s="2" t="n"/>
      <c r="J133" s="2" t="n"/>
      <c r="K133" s="2" t="n"/>
      <c r="L133" s="2" t="n"/>
    </row>
    <row r="134" ht="14.25" customHeight="1" s="46">
      <c r="A134" s="2" t="n"/>
      <c r="B134" s="2" t="n"/>
      <c r="C134" s="2" t="n"/>
      <c r="D134" s="2" t="n"/>
      <c r="E134" s="2" t="n"/>
      <c r="F134" s="2" t="n"/>
      <c r="G134" s="2" t="n"/>
      <c r="H134" s="2" t="n"/>
      <c r="I134" s="2" t="n"/>
      <c r="J134" s="2" t="n"/>
      <c r="K134" s="2" t="n"/>
      <c r="L134" s="2" t="n"/>
    </row>
    <row r="135" ht="14.25" customHeight="1" s="46">
      <c r="A135" s="2" t="n"/>
      <c r="B135" s="2" t="n"/>
      <c r="C135" s="2" t="n"/>
      <c r="D135" s="2" t="n"/>
      <c r="E135" s="2" t="n"/>
      <c r="F135" s="2" t="n"/>
      <c r="G135" s="2" t="n"/>
      <c r="H135" s="2" t="n"/>
      <c r="I135" s="2" t="n"/>
      <c r="J135" s="2" t="n"/>
      <c r="K135" s="2" t="n"/>
      <c r="L135" s="2" t="n"/>
    </row>
    <row r="136" ht="14.25" customHeight="1" s="46">
      <c r="A136" s="2" t="n"/>
      <c r="B136" s="2" t="n"/>
      <c r="C136" s="2" t="n"/>
      <c r="D136" s="2" t="n"/>
      <c r="E136" s="2" t="n"/>
      <c r="F136" s="2" t="n"/>
      <c r="G136" s="2" t="n"/>
      <c r="H136" s="2" t="n"/>
      <c r="I136" s="2" t="n"/>
      <c r="J136" s="2" t="n"/>
      <c r="K136" s="2" t="n"/>
      <c r="L136" s="2" t="n"/>
    </row>
    <row r="137" ht="14.25" customHeight="1" s="46">
      <c r="A137" s="2" t="n"/>
      <c r="B137" s="2" t="n"/>
      <c r="C137" s="2" t="n"/>
      <c r="D137" s="2" t="n"/>
      <c r="E137" s="2" t="n"/>
      <c r="F137" s="2" t="n"/>
      <c r="G137" s="2" t="n"/>
      <c r="H137" s="2" t="n"/>
      <c r="I137" s="2" t="n"/>
      <c r="J137" s="2" t="n"/>
      <c r="K137" s="2" t="n"/>
      <c r="L137" s="2" t="n"/>
    </row>
    <row r="138" ht="14.25" customHeight="1" s="46">
      <c r="A138" s="2" t="n"/>
      <c r="B138" s="2" t="n"/>
      <c r="C138" s="2" t="n"/>
      <c r="D138" s="2" t="n"/>
      <c r="E138" s="2" t="n"/>
      <c r="F138" s="2" t="n"/>
      <c r="G138" s="2" t="n"/>
      <c r="H138" s="2" t="n"/>
      <c r="I138" s="2" t="n"/>
      <c r="J138" s="2" t="n"/>
      <c r="K138" s="2" t="n"/>
      <c r="L138" s="2" t="n"/>
    </row>
    <row r="139" ht="14.25" customHeight="1" s="46">
      <c r="A139" s="2" t="n"/>
      <c r="B139" s="2" t="n"/>
      <c r="C139" s="2" t="n"/>
      <c r="D139" s="2" t="n"/>
      <c r="E139" s="2" t="n"/>
      <c r="F139" s="2" t="n"/>
      <c r="G139" s="2" t="n"/>
      <c r="H139" s="2" t="n"/>
      <c r="I139" s="2" t="n"/>
      <c r="J139" s="2" t="n"/>
      <c r="K139" s="2" t="n"/>
      <c r="L139" s="2" t="n"/>
    </row>
    <row r="140" ht="14.25" customHeight="1" s="46">
      <c r="A140" s="2" t="n"/>
      <c r="B140" s="2" t="n"/>
      <c r="C140" s="2" t="n"/>
      <c r="D140" s="2" t="n"/>
      <c r="E140" s="2" t="n"/>
      <c r="F140" s="2" t="n"/>
      <c r="G140" s="2" t="n"/>
      <c r="H140" s="2" t="n"/>
      <c r="I140" s="2" t="n"/>
      <c r="J140" s="2" t="n"/>
      <c r="K140" s="2" t="n"/>
      <c r="L140" s="2" t="n"/>
    </row>
    <row r="141" ht="14.25" customHeight="1" s="46">
      <c r="A141" s="2" t="n"/>
      <c r="B141" s="2" t="n"/>
      <c r="C141" s="2" t="n"/>
      <c r="D141" s="2" t="n"/>
      <c r="E141" s="2" t="n"/>
      <c r="F141" s="2" t="n"/>
      <c r="G141" s="2" t="n"/>
      <c r="H141" s="2" t="n"/>
      <c r="I141" s="2" t="n"/>
      <c r="J141" s="2" t="n"/>
      <c r="K141" s="2" t="n"/>
      <c r="L141" s="2" t="n"/>
    </row>
    <row r="142" ht="14.25" customHeight="1" s="46">
      <c r="A142" s="2" t="n"/>
      <c r="B142" s="2" t="n"/>
      <c r="C142" s="2" t="n"/>
      <c r="D142" s="2" t="n"/>
      <c r="E142" s="2" t="n"/>
      <c r="F142" s="2" t="n"/>
      <c r="G142" s="2" t="n"/>
      <c r="H142" s="2" t="n"/>
      <c r="I142" s="2" t="n"/>
      <c r="J142" s="2" t="n"/>
      <c r="K142" s="2" t="n"/>
      <c r="L142" s="2" t="n"/>
    </row>
    <row r="143" ht="14.25" customHeight="1" s="46">
      <c r="A143" s="2" t="n"/>
      <c r="B143" s="2" t="n"/>
      <c r="C143" s="2" t="n"/>
      <c r="D143" s="2" t="n"/>
      <c r="E143" s="2" t="n"/>
      <c r="F143" s="2" t="n"/>
      <c r="G143" s="2" t="n"/>
      <c r="H143" s="2" t="n"/>
      <c r="I143" s="2" t="n"/>
      <c r="J143" s="2" t="n"/>
      <c r="K143" s="2" t="n"/>
      <c r="L143" s="2" t="n"/>
    </row>
    <row r="144" ht="14.25" customHeight="1" s="46">
      <c r="A144" s="2" t="n"/>
      <c r="B144" s="2" t="n"/>
      <c r="C144" s="2" t="n"/>
      <c r="D144" s="2" t="n"/>
      <c r="E144" s="2" t="n"/>
      <c r="F144" s="2" t="n"/>
      <c r="G144" s="2" t="n"/>
      <c r="H144" s="2" t="n"/>
      <c r="I144" s="2" t="n"/>
      <c r="J144" s="2" t="n"/>
      <c r="K144" s="2" t="n"/>
      <c r="L144" s="2" t="n"/>
    </row>
    <row r="145" ht="14.25" customHeight="1" s="46">
      <c r="A145" s="2" t="n"/>
      <c r="B145" s="2" t="n"/>
      <c r="C145" s="2" t="n"/>
      <c r="D145" s="2" t="n"/>
      <c r="E145" s="2" t="n"/>
      <c r="F145" s="2" t="n"/>
      <c r="G145" s="2" t="n"/>
      <c r="H145" s="2" t="n"/>
      <c r="I145" s="2" t="n"/>
      <c r="J145" s="2" t="n"/>
      <c r="K145" s="2" t="n"/>
      <c r="L145" s="2" t="n"/>
    </row>
    <row r="146" ht="14.25" customHeight="1" s="46">
      <c r="A146" s="2" t="n"/>
      <c r="B146" s="2" t="n"/>
      <c r="C146" s="2" t="n"/>
      <c r="D146" s="2" t="n"/>
      <c r="E146" s="2" t="n"/>
      <c r="F146" s="2" t="n"/>
      <c r="G146" s="2" t="n"/>
      <c r="H146" s="2" t="n"/>
      <c r="I146" s="2" t="n"/>
      <c r="J146" s="2" t="n"/>
      <c r="K146" s="2" t="n"/>
      <c r="L146" s="2" t="n"/>
    </row>
    <row r="147" ht="14.25" customHeight="1" s="46">
      <c r="A147" s="2" t="n"/>
      <c r="B147" s="2" t="n"/>
      <c r="C147" s="2" t="n"/>
      <c r="D147" s="2" t="n"/>
      <c r="E147" s="2" t="n"/>
      <c r="F147" s="2" t="n"/>
      <c r="G147" s="2" t="n"/>
      <c r="H147" s="2" t="n"/>
      <c r="I147" s="2" t="n"/>
      <c r="J147" s="2" t="n"/>
      <c r="K147" s="2" t="n"/>
      <c r="L147" s="2" t="n"/>
    </row>
    <row r="148" ht="14.25" customHeight="1" s="46">
      <c r="A148" s="2" t="n"/>
      <c r="B148" s="2" t="n"/>
      <c r="C148" s="2" t="n"/>
      <c r="D148" s="2" t="n"/>
      <c r="E148" s="2" t="n"/>
      <c r="F148" s="2" t="n"/>
      <c r="G148" s="2" t="n"/>
      <c r="H148" s="2" t="n"/>
      <c r="I148" s="2" t="n"/>
      <c r="J148" s="2" t="n"/>
      <c r="K148" s="2" t="n"/>
      <c r="L148" s="2" t="n"/>
    </row>
    <row r="149" ht="14.25" customHeight="1" s="46">
      <c r="A149" s="2" t="n"/>
      <c r="B149" s="2" t="n"/>
      <c r="C149" s="2" t="n"/>
      <c r="D149" s="2" t="n"/>
      <c r="E149" s="2" t="n"/>
      <c r="F149" s="2" t="n"/>
      <c r="G149" s="2" t="n"/>
      <c r="H149" s="2" t="n"/>
      <c r="I149" s="2" t="n"/>
      <c r="J149" s="2" t="n"/>
      <c r="K149" s="2" t="n"/>
      <c r="L149" s="2" t="n"/>
    </row>
    <row r="150" ht="14.25" customHeight="1" s="46">
      <c r="A150" s="2" t="n"/>
      <c r="B150" s="2" t="n"/>
      <c r="C150" s="2" t="n"/>
      <c r="D150" s="2" t="n"/>
      <c r="E150" s="2" t="n"/>
      <c r="F150" s="2" t="n"/>
      <c r="G150" s="2" t="n"/>
      <c r="H150" s="2" t="n"/>
      <c r="I150" s="2" t="n"/>
      <c r="J150" s="2" t="n"/>
      <c r="K150" s="2" t="n"/>
      <c r="L150" s="2" t="n"/>
    </row>
    <row r="151" ht="14.25" customHeight="1" s="46">
      <c r="A151" s="2" t="n"/>
      <c r="B151" s="2" t="n"/>
      <c r="C151" s="2" t="n"/>
      <c r="D151" s="2" t="n"/>
      <c r="E151" s="2" t="n"/>
      <c r="F151" s="2" t="n"/>
      <c r="G151" s="2" t="n"/>
      <c r="H151" s="2" t="n"/>
      <c r="I151" s="2" t="n"/>
      <c r="J151" s="2" t="n"/>
      <c r="K151" s="2" t="n"/>
      <c r="L151" s="2" t="n"/>
    </row>
    <row r="152" ht="14.25" customHeight="1" s="46">
      <c r="A152" s="2" t="n"/>
      <c r="B152" s="2" t="n"/>
      <c r="C152" s="2" t="n"/>
      <c r="D152" s="2" t="n"/>
      <c r="E152" s="2" t="n"/>
      <c r="F152" s="2" t="n"/>
      <c r="G152" s="2" t="n"/>
      <c r="H152" s="2" t="n"/>
      <c r="I152" s="2" t="n"/>
      <c r="J152" s="2" t="n"/>
      <c r="K152" s="2" t="n"/>
      <c r="L152" s="2" t="n"/>
    </row>
    <row r="153" ht="14.25" customHeight="1" s="46">
      <c r="A153" s="2" t="n"/>
      <c r="B153" s="2" t="n"/>
      <c r="C153" s="2" t="n"/>
      <c r="D153" s="2" t="n"/>
      <c r="E153" s="2" t="n"/>
      <c r="F153" s="2" t="n"/>
      <c r="G153" s="2" t="n"/>
      <c r="H153" s="2" t="n"/>
      <c r="I153" s="2" t="n"/>
      <c r="J153" s="2" t="n"/>
      <c r="K153" s="2" t="n"/>
      <c r="L153" s="2" t="n"/>
    </row>
    <row r="154" ht="14.25" customHeight="1" s="46">
      <c r="A154" s="2" t="n"/>
      <c r="B154" s="2" t="n"/>
      <c r="C154" s="2" t="n"/>
      <c r="D154" s="2" t="n"/>
      <c r="E154" s="2" t="n"/>
      <c r="F154" s="2" t="n"/>
      <c r="G154" s="2" t="n"/>
      <c r="H154" s="2" t="n"/>
      <c r="I154" s="2" t="n"/>
      <c r="J154" s="2" t="n"/>
      <c r="K154" s="2" t="n"/>
      <c r="L154" s="2" t="n"/>
    </row>
    <row r="155" ht="14.25" customHeight="1" s="46">
      <c r="A155" s="2" t="n"/>
      <c r="B155" s="2" t="n"/>
      <c r="C155" s="2" t="n"/>
      <c r="D155" s="2" t="n"/>
      <c r="E155" s="2" t="n"/>
      <c r="F155" s="2" t="n"/>
      <c r="G155" s="2" t="n"/>
      <c r="H155" s="2" t="n"/>
      <c r="I155" s="2" t="n"/>
      <c r="J155" s="2" t="n"/>
      <c r="K155" s="2" t="n"/>
      <c r="L155" s="2" t="n"/>
    </row>
    <row r="156" ht="14.25" customHeight="1" s="46">
      <c r="A156" s="2" t="n"/>
      <c r="B156" s="2" t="n"/>
      <c r="C156" s="2" t="n"/>
      <c r="D156" s="2" t="n"/>
      <c r="E156" s="2" t="n"/>
      <c r="F156" s="2" t="n"/>
      <c r="G156" s="2" t="n"/>
      <c r="H156" s="2" t="n"/>
      <c r="I156" s="2" t="n"/>
      <c r="J156" s="2" t="n"/>
      <c r="K156" s="2" t="n"/>
      <c r="L156" s="2" t="n"/>
    </row>
    <row r="157" ht="14.25" customHeight="1" s="46">
      <c r="A157" s="2" t="n"/>
      <c r="B157" s="2" t="n"/>
      <c r="C157" s="2" t="n"/>
      <c r="D157" s="2" t="n"/>
      <c r="E157" s="2" t="n"/>
      <c r="F157" s="2" t="n"/>
      <c r="G157" s="2" t="n"/>
      <c r="H157" s="2" t="n"/>
      <c r="I157" s="2" t="n"/>
      <c r="J157" s="2" t="n"/>
      <c r="K157" s="2" t="n"/>
      <c r="L157" s="2" t="n"/>
    </row>
    <row r="158" ht="14.25" customHeight="1" s="46">
      <c r="A158" s="2" t="n"/>
      <c r="B158" s="2" t="n"/>
      <c r="C158" s="2" t="n"/>
      <c r="D158" s="2" t="n"/>
      <c r="E158" s="2" t="n"/>
      <c r="F158" s="2" t="n"/>
      <c r="G158" s="2" t="n"/>
      <c r="H158" s="2" t="n"/>
      <c r="I158" s="2" t="n"/>
      <c r="J158" s="2" t="n"/>
      <c r="K158" s="2" t="n"/>
      <c r="L158" s="2" t="n"/>
    </row>
    <row r="159" ht="14.25" customHeight="1" s="46">
      <c r="A159" s="2" t="n"/>
      <c r="B159" s="2" t="n"/>
      <c r="C159" s="2" t="n"/>
      <c r="D159" s="2" t="n"/>
      <c r="E159" s="2" t="n"/>
      <c r="F159" s="2" t="n"/>
      <c r="G159" s="2" t="n"/>
      <c r="H159" s="2" t="n"/>
      <c r="I159" s="2" t="n"/>
      <c r="J159" s="2" t="n"/>
      <c r="K159" s="2" t="n"/>
      <c r="L159" s="2" t="n"/>
    </row>
    <row r="160" ht="14.25" customHeight="1" s="46">
      <c r="A160" s="2" t="n"/>
      <c r="B160" s="2" t="n"/>
      <c r="C160" s="2" t="n"/>
      <c r="D160" s="2" t="n"/>
      <c r="E160" s="2" t="n"/>
      <c r="F160" s="2" t="n"/>
      <c r="G160" s="2" t="n"/>
      <c r="H160" s="2" t="n"/>
      <c r="I160" s="2" t="n"/>
      <c r="J160" s="2" t="n"/>
      <c r="K160" s="2" t="n"/>
      <c r="L160" s="2" t="n"/>
    </row>
    <row r="161" ht="14.25" customHeight="1" s="46">
      <c r="A161" s="2" t="n"/>
      <c r="B161" s="2" t="n"/>
      <c r="C161" s="2" t="n"/>
      <c r="D161" s="2" t="n"/>
      <c r="E161" s="2" t="n"/>
      <c r="F161" s="2" t="n"/>
      <c r="G161" s="2" t="n"/>
      <c r="H161" s="2" t="n"/>
      <c r="I161" s="2" t="n"/>
      <c r="J161" s="2" t="n"/>
      <c r="K161" s="2" t="n"/>
      <c r="L161" s="2" t="n"/>
    </row>
    <row r="162" ht="14.25" customHeight="1" s="46">
      <c r="A162" s="2" t="n"/>
      <c r="B162" s="2" t="n"/>
      <c r="C162" s="2" t="n"/>
      <c r="D162" s="2" t="n"/>
      <c r="E162" s="2" t="n"/>
      <c r="F162" s="2" t="n"/>
      <c r="G162" s="2" t="n"/>
      <c r="H162" s="2" t="n"/>
      <c r="I162" s="2" t="n"/>
      <c r="J162" s="2" t="n"/>
      <c r="K162" s="2" t="n"/>
      <c r="L162" s="2" t="n"/>
    </row>
    <row r="163" ht="14.25" customHeight="1" s="46">
      <c r="A163" s="2" t="n"/>
      <c r="B163" s="2" t="n"/>
      <c r="C163" s="2" t="n"/>
      <c r="D163" s="2" t="n"/>
      <c r="E163" s="2" t="n"/>
      <c r="F163" s="2" t="n"/>
      <c r="G163" s="2" t="n"/>
      <c r="H163" s="2" t="n"/>
      <c r="I163" s="2" t="n"/>
      <c r="J163" s="2" t="n"/>
      <c r="K163" s="2" t="n"/>
      <c r="L163" s="2" t="n"/>
    </row>
    <row r="164" ht="14.25" customHeight="1" s="46">
      <c r="A164" s="2" t="n"/>
      <c r="B164" s="2" t="n"/>
      <c r="C164" s="2" t="n"/>
      <c r="D164" s="2" t="n"/>
      <c r="E164" s="2" t="n"/>
      <c r="F164" s="2" t="n"/>
      <c r="G164" s="2" t="n"/>
      <c r="H164" s="2" t="n"/>
      <c r="I164" s="2" t="n"/>
      <c r="J164" s="2" t="n"/>
      <c r="K164" s="2" t="n"/>
      <c r="L164" s="2" t="n"/>
    </row>
    <row r="165" ht="14.25" customHeight="1" s="46">
      <c r="A165" s="2" t="n"/>
      <c r="B165" s="2" t="n"/>
      <c r="C165" s="2" t="n"/>
      <c r="D165" s="2" t="n"/>
      <c r="E165" s="2" t="n"/>
      <c r="F165" s="2" t="n"/>
      <c r="G165" s="2" t="n"/>
      <c r="H165" s="2" t="n"/>
      <c r="I165" s="2" t="n"/>
      <c r="J165" s="2" t="n"/>
      <c r="K165" s="2" t="n"/>
      <c r="L165" s="2" t="n"/>
    </row>
    <row r="166" ht="14.25" customHeight="1" s="46">
      <c r="A166" s="2" t="n"/>
      <c r="B166" s="2" t="n"/>
      <c r="C166" s="2" t="n"/>
      <c r="D166" s="2" t="n"/>
      <c r="E166" s="2" t="n"/>
      <c r="F166" s="2" t="n"/>
      <c r="G166" s="2" t="n"/>
      <c r="H166" s="2" t="n"/>
      <c r="I166" s="2" t="n"/>
      <c r="J166" s="2" t="n"/>
      <c r="K166" s="2" t="n"/>
      <c r="L166" s="2" t="n"/>
    </row>
    <row r="167" ht="14.25" customHeight="1" s="46">
      <c r="A167" s="2" t="n"/>
      <c r="B167" s="2" t="n"/>
      <c r="C167" s="2" t="n"/>
      <c r="D167" s="2" t="n"/>
      <c r="E167" s="2" t="n"/>
      <c r="F167" s="2" t="n"/>
      <c r="G167" s="2" t="n"/>
      <c r="H167" s="2" t="n"/>
      <c r="I167" s="2" t="n"/>
      <c r="J167" s="2" t="n"/>
      <c r="K167" s="2" t="n"/>
      <c r="L167" s="2" t="n"/>
    </row>
    <row r="168" ht="14.25" customHeight="1" s="46">
      <c r="A168" s="2" t="n"/>
      <c r="B168" s="2" t="n"/>
      <c r="C168" s="2" t="n"/>
      <c r="D168" s="2" t="n"/>
      <c r="E168" s="2" t="n"/>
      <c r="F168" s="2" t="n"/>
      <c r="G168" s="2" t="n"/>
      <c r="H168" s="2" t="n"/>
      <c r="I168" s="2" t="n"/>
      <c r="J168" s="2" t="n"/>
      <c r="K168" s="2" t="n"/>
      <c r="L168" s="2" t="n"/>
    </row>
    <row r="169" ht="14.25" customHeight="1" s="46">
      <c r="A169" s="2" t="n"/>
      <c r="B169" s="2" t="n"/>
      <c r="C169" s="2" t="n"/>
      <c r="D169" s="2" t="n"/>
      <c r="E169" s="2" t="n"/>
      <c r="F169" s="2" t="n"/>
      <c r="G169" s="2" t="n"/>
      <c r="H169" s="2" t="n"/>
      <c r="I169" s="2" t="n"/>
      <c r="J169" s="2" t="n"/>
      <c r="K169" s="2" t="n"/>
      <c r="L169" s="2" t="n"/>
    </row>
    <row r="170" ht="14.25" customHeight="1" s="46">
      <c r="A170" s="2" t="n"/>
      <c r="B170" s="2" t="n"/>
      <c r="C170" s="2" t="n"/>
      <c r="D170" s="2" t="n"/>
      <c r="E170" s="2" t="n"/>
      <c r="F170" s="2" t="n"/>
      <c r="G170" s="2" t="n"/>
      <c r="H170" s="2" t="n"/>
      <c r="I170" s="2" t="n"/>
      <c r="J170" s="2" t="n"/>
      <c r="K170" s="2" t="n"/>
      <c r="L170" s="2" t="n"/>
    </row>
    <row r="171" ht="14.25" customHeight="1" s="46">
      <c r="A171" s="2" t="n"/>
      <c r="B171" s="2" t="n"/>
      <c r="C171" s="2" t="n"/>
      <c r="D171" s="2" t="n"/>
      <c r="E171" s="2" t="n"/>
      <c r="F171" s="2" t="n"/>
      <c r="G171" s="2" t="n"/>
      <c r="H171" s="2" t="n"/>
      <c r="I171" s="2" t="n"/>
      <c r="J171" s="2" t="n"/>
      <c r="K171" s="2" t="n"/>
      <c r="L171" s="2" t="n"/>
    </row>
    <row r="172" ht="14.25" customHeight="1" s="46">
      <c r="A172" s="2" t="n"/>
      <c r="B172" s="2" t="n"/>
      <c r="C172" s="2" t="n"/>
      <c r="D172" s="2" t="n"/>
      <c r="E172" s="2" t="n"/>
      <c r="F172" s="2" t="n"/>
      <c r="G172" s="2" t="n"/>
      <c r="H172" s="2" t="n"/>
      <c r="I172" s="2" t="n"/>
      <c r="J172" s="2" t="n"/>
      <c r="K172" s="2" t="n"/>
      <c r="L172" s="2" t="n"/>
    </row>
    <row r="173" ht="14.25" customHeight="1" s="46">
      <c r="A173" s="2" t="n"/>
      <c r="B173" s="2" t="n"/>
      <c r="C173" s="2" t="n"/>
      <c r="D173" s="2" t="n"/>
      <c r="E173" s="2" t="n"/>
      <c r="F173" s="2" t="n"/>
      <c r="G173" s="2" t="n"/>
      <c r="H173" s="2" t="n"/>
      <c r="I173" s="2" t="n"/>
      <c r="J173" s="2" t="n"/>
      <c r="K173" s="2" t="n"/>
      <c r="L173" s="2" t="n"/>
    </row>
    <row r="174" ht="14.25" customHeight="1" s="46">
      <c r="A174" s="2" t="n"/>
      <c r="B174" s="2" t="n"/>
      <c r="C174" s="2" t="n"/>
      <c r="D174" s="2" t="n"/>
      <c r="E174" s="2" t="n"/>
      <c r="F174" s="2" t="n"/>
      <c r="G174" s="2" t="n"/>
      <c r="H174" s="2" t="n"/>
      <c r="I174" s="2" t="n"/>
      <c r="J174" s="2" t="n"/>
      <c r="K174" s="2" t="n"/>
      <c r="L174" s="2" t="n"/>
    </row>
    <row r="175" ht="14.25" customHeight="1" s="46">
      <c r="A175" s="2" t="n"/>
      <c r="B175" s="2" t="n"/>
      <c r="C175" s="2" t="n"/>
      <c r="D175" s="2" t="n"/>
      <c r="E175" s="2" t="n"/>
      <c r="F175" s="2" t="n"/>
      <c r="G175" s="2" t="n"/>
      <c r="H175" s="2" t="n"/>
      <c r="I175" s="2" t="n"/>
      <c r="J175" s="2" t="n"/>
      <c r="K175" s="2" t="n"/>
      <c r="L175" s="2" t="n"/>
    </row>
    <row r="176" ht="14.25" customHeight="1" s="46">
      <c r="A176" s="2" t="n"/>
      <c r="B176" s="2" t="n"/>
      <c r="C176" s="2" t="n"/>
      <c r="D176" s="2" t="n"/>
      <c r="E176" s="2" t="n"/>
      <c r="F176" s="2" t="n"/>
      <c r="G176" s="2" t="n"/>
      <c r="H176" s="2" t="n"/>
      <c r="I176" s="2" t="n"/>
      <c r="J176" s="2" t="n"/>
      <c r="K176" s="2" t="n"/>
      <c r="L176" s="2" t="n"/>
    </row>
    <row r="177" ht="14.25" customHeight="1" s="46">
      <c r="A177" s="2" t="n"/>
      <c r="B177" s="2" t="n"/>
      <c r="C177" s="2" t="n"/>
      <c r="D177" s="2" t="n"/>
      <c r="E177" s="2" t="n"/>
      <c r="F177" s="2" t="n"/>
      <c r="G177" s="2" t="n"/>
      <c r="H177" s="2" t="n"/>
      <c r="I177" s="2" t="n"/>
      <c r="J177" s="2" t="n"/>
      <c r="K177" s="2" t="n"/>
      <c r="L177" s="2" t="n"/>
    </row>
    <row r="178" ht="14.25" customHeight="1" s="46">
      <c r="A178" s="2" t="n"/>
      <c r="B178" s="2" t="n"/>
      <c r="C178" s="2" t="n"/>
      <c r="D178" s="2" t="n"/>
      <c r="E178" s="2" t="n"/>
      <c r="F178" s="2" t="n"/>
      <c r="G178" s="2" t="n"/>
      <c r="H178" s="2" t="n"/>
      <c r="I178" s="2" t="n"/>
      <c r="J178" s="2" t="n"/>
      <c r="K178" s="2" t="n"/>
      <c r="L178" s="2" t="n"/>
    </row>
    <row r="179" ht="14.25" customHeight="1" s="46">
      <c r="A179" s="2" t="n"/>
      <c r="B179" s="2" t="n"/>
      <c r="C179" s="2" t="n"/>
      <c r="D179" s="2" t="n"/>
      <c r="E179" s="2" t="n"/>
      <c r="F179" s="2" t="n"/>
      <c r="G179" s="2" t="n"/>
      <c r="H179" s="2" t="n"/>
      <c r="I179" s="2" t="n"/>
      <c r="J179" s="2" t="n"/>
      <c r="K179" s="2" t="n"/>
      <c r="L179" s="2" t="n"/>
    </row>
    <row r="180" ht="14.25" customHeight="1" s="46">
      <c r="A180" s="2" t="n"/>
      <c r="B180" s="2" t="n"/>
      <c r="C180" s="2" t="n"/>
      <c r="D180" s="2" t="n"/>
      <c r="E180" s="2" t="n"/>
      <c r="F180" s="2" t="n"/>
      <c r="G180" s="2" t="n"/>
      <c r="H180" s="2" t="n"/>
      <c r="I180" s="2" t="n"/>
      <c r="J180" s="2" t="n"/>
      <c r="K180" s="2" t="n"/>
      <c r="L180" s="2" t="n"/>
    </row>
    <row r="181" ht="14.25" customHeight="1" s="46">
      <c r="A181" s="2" t="n"/>
      <c r="B181" s="2" t="n"/>
      <c r="C181" s="2" t="n"/>
      <c r="D181" s="2" t="n"/>
      <c r="E181" s="2" t="n"/>
      <c r="F181" s="2" t="n"/>
      <c r="G181" s="2" t="n"/>
      <c r="H181" s="2" t="n"/>
      <c r="I181" s="2" t="n"/>
      <c r="J181" s="2" t="n"/>
      <c r="K181" s="2" t="n"/>
      <c r="L181" s="2" t="n"/>
    </row>
    <row r="182" ht="14.25" customHeight="1" s="46">
      <c r="A182" s="2" t="n"/>
      <c r="B182" s="2" t="n"/>
      <c r="C182" s="2" t="n"/>
      <c r="D182" s="2" t="n"/>
      <c r="E182" s="2" t="n"/>
      <c r="F182" s="2" t="n"/>
      <c r="G182" s="2" t="n"/>
      <c r="H182" s="2" t="n"/>
      <c r="I182" s="2" t="n"/>
      <c r="J182" s="2" t="n"/>
      <c r="K182" s="2" t="n"/>
      <c r="L182" s="2" t="n"/>
    </row>
    <row r="183" ht="14.25" customHeight="1" s="46">
      <c r="A183" s="2" t="n"/>
      <c r="B183" s="2" t="n"/>
      <c r="C183" s="2" t="n"/>
      <c r="D183" s="2" t="n"/>
      <c r="E183" s="2" t="n"/>
      <c r="F183" s="2" t="n"/>
      <c r="G183" s="2" t="n"/>
      <c r="H183" s="2" t="n"/>
      <c r="I183" s="2" t="n"/>
      <c r="J183" s="2" t="n"/>
      <c r="K183" s="2" t="n"/>
      <c r="L183" s="2" t="n"/>
    </row>
    <row r="184" ht="14.25" customHeight="1" s="46">
      <c r="A184" s="2" t="n"/>
      <c r="B184" s="2" t="n"/>
      <c r="C184" s="2" t="n"/>
      <c r="D184" s="2" t="n"/>
      <c r="E184" s="2" t="n"/>
      <c r="F184" s="2" t="n"/>
      <c r="G184" s="2" t="n"/>
      <c r="H184" s="2" t="n"/>
      <c r="I184" s="2" t="n"/>
      <c r="J184" s="2" t="n"/>
      <c r="K184" s="2" t="n"/>
      <c r="L184" s="2" t="n"/>
    </row>
    <row r="185" ht="14.25" customHeight="1" s="46">
      <c r="A185" s="2" t="n"/>
      <c r="B185" s="2" t="n"/>
      <c r="C185" s="2" t="n"/>
      <c r="D185" s="2" t="n"/>
      <c r="E185" s="2" t="n"/>
      <c r="F185" s="2" t="n"/>
      <c r="G185" s="2" t="n"/>
      <c r="H185" s="2" t="n"/>
      <c r="I185" s="2" t="n"/>
      <c r="J185" s="2" t="n"/>
      <c r="K185" s="2" t="n"/>
      <c r="L185" s="2" t="n"/>
    </row>
    <row r="186" ht="14.25" customHeight="1" s="46">
      <c r="A186" s="2" t="n"/>
      <c r="B186" s="2" t="n"/>
      <c r="C186" s="2" t="n"/>
      <c r="D186" s="2" t="n"/>
      <c r="E186" s="2" t="n"/>
      <c r="F186" s="2" t="n"/>
      <c r="G186" s="2" t="n"/>
      <c r="H186" s="2" t="n"/>
      <c r="I186" s="2" t="n"/>
      <c r="J186" s="2" t="n"/>
      <c r="K186" s="2" t="n"/>
      <c r="L186" s="2" t="n"/>
    </row>
    <row r="187" ht="14.25" customHeight="1" s="46">
      <c r="A187" s="2" t="n"/>
      <c r="B187" s="2" t="n"/>
      <c r="C187" s="2" t="n"/>
      <c r="D187" s="2" t="n"/>
      <c r="E187" s="2" t="n"/>
      <c r="F187" s="2" t="n"/>
      <c r="G187" s="2" t="n"/>
      <c r="H187" s="2" t="n"/>
      <c r="I187" s="2" t="n"/>
      <c r="J187" s="2" t="n"/>
      <c r="K187" s="2" t="n"/>
      <c r="L187" s="2" t="n"/>
    </row>
    <row r="188" ht="14.25" customHeight="1" s="46">
      <c r="A188" s="2" t="n"/>
      <c r="B188" s="2" t="n"/>
      <c r="C188" s="2" t="n"/>
      <c r="D188" s="2" t="n"/>
      <c r="E188" s="2" t="n"/>
      <c r="F188" s="2" t="n"/>
      <c r="G188" s="2" t="n"/>
      <c r="H188" s="2" t="n"/>
      <c r="I188" s="2" t="n"/>
      <c r="J188" s="2" t="n"/>
      <c r="K188" s="2" t="n"/>
      <c r="L188" s="2" t="n"/>
    </row>
    <row r="189" ht="14.25" customHeight="1" s="46">
      <c r="A189" s="2" t="n"/>
      <c r="B189" s="2" t="n"/>
      <c r="C189" s="2" t="n"/>
      <c r="D189" s="2" t="n"/>
      <c r="E189" s="2" t="n"/>
      <c r="F189" s="2" t="n"/>
      <c r="G189" s="2" t="n"/>
      <c r="H189" s="2" t="n"/>
      <c r="I189" s="2" t="n"/>
      <c r="J189" s="2" t="n"/>
      <c r="K189" s="2" t="n"/>
      <c r="L189" s="2" t="n"/>
    </row>
    <row r="190" ht="14.25" customHeight="1" s="46">
      <c r="A190" s="2" t="n"/>
      <c r="B190" s="2" t="n"/>
      <c r="C190" s="2" t="n"/>
      <c r="D190" s="2" t="n"/>
      <c r="E190" s="2" t="n"/>
      <c r="F190" s="2" t="n"/>
      <c r="G190" s="2" t="n"/>
      <c r="H190" s="2" t="n"/>
      <c r="I190" s="2" t="n"/>
      <c r="J190" s="2" t="n"/>
      <c r="K190" s="2" t="n"/>
      <c r="L190" s="2" t="n"/>
    </row>
    <row r="191" ht="14.25" customHeight="1" s="46">
      <c r="A191" s="2" t="n"/>
      <c r="B191" s="2" t="n"/>
      <c r="C191" s="2" t="n"/>
      <c r="D191" s="2" t="n"/>
      <c r="E191" s="2" t="n"/>
      <c r="F191" s="2" t="n"/>
      <c r="G191" s="2" t="n"/>
      <c r="H191" s="2" t="n"/>
      <c r="I191" s="2" t="n"/>
      <c r="J191" s="2" t="n"/>
      <c r="K191" s="2" t="n"/>
      <c r="L191" s="2" t="n"/>
    </row>
    <row r="192" ht="14.25" customHeight="1" s="46">
      <c r="A192" s="2" t="n"/>
      <c r="B192" s="2" t="n"/>
      <c r="C192" s="2" t="n"/>
      <c r="D192" s="2" t="n"/>
      <c r="E192" s="2" t="n"/>
      <c r="F192" s="2" t="n"/>
      <c r="G192" s="2" t="n"/>
      <c r="H192" s="2" t="n"/>
      <c r="I192" s="2" t="n"/>
      <c r="J192" s="2" t="n"/>
      <c r="K192" s="2" t="n"/>
      <c r="L192" s="2" t="n"/>
    </row>
    <row r="193" ht="14.25" customHeight="1" s="46">
      <c r="A193" s="2" t="n"/>
      <c r="B193" s="2" t="n"/>
      <c r="C193" s="2" t="n"/>
      <c r="D193" s="2" t="n"/>
      <c r="E193" s="2" t="n"/>
      <c r="F193" s="2" t="n"/>
      <c r="G193" s="2" t="n"/>
      <c r="H193" s="2" t="n"/>
      <c r="I193" s="2" t="n"/>
      <c r="J193" s="2" t="n"/>
      <c r="K193" s="2" t="n"/>
      <c r="L193" s="2" t="n"/>
    </row>
    <row r="194" ht="14.25" customHeight="1" s="46">
      <c r="A194" s="2" t="n"/>
      <c r="B194" s="2" t="n"/>
      <c r="C194" s="2" t="n"/>
      <c r="D194" s="2" t="n"/>
      <c r="E194" s="2" t="n"/>
      <c r="F194" s="2" t="n"/>
      <c r="G194" s="2" t="n"/>
      <c r="H194" s="2" t="n"/>
      <c r="I194" s="2" t="n"/>
      <c r="J194" s="2" t="n"/>
      <c r="K194" s="2" t="n"/>
      <c r="L194" s="2" t="n"/>
    </row>
    <row r="195" ht="14.25" customHeight="1" s="46">
      <c r="A195" s="2" t="n"/>
      <c r="B195" s="2" t="n"/>
      <c r="C195" s="2" t="n"/>
      <c r="D195" s="2" t="n"/>
      <c r="E195" s="2" t="n"/>
      <c r="F195" s="2" t="n"/>
      <c r="G195" s="2" t="n"/>
      <c r="H195" s="2" t="n"/>
      <c r="I195" s="2" t="n"/>
      <c r="J195" s="2" t="n"/>
      <c r="K195" s="2" t="n"/>
      <c r="L195" s="2" t="n"/>
    </row>
    <row r="196" ht="14.25" customHeight="1" s="46">
      <c r="A196" s="2" t="n"/>
      <c r="B196" s="2" t="n"/>
      <c r="C196" s="2" t="n"/>
      <c r="D196" s="2" t="n"/>
      <c r="E196" s="2" t="n"/>
      <c r="F196" s="2" t="n"/>
      <c r="G196" s="2" t="n"/>
      <c r="H196" s="2" t="n"/>
      <c r="I196" s="2" t="n"/>
      <c r="J196" s="2" t="n"/>
      <c r="K196" s="2" t="n"/>
      <c r="L196" s="2" t="n"/>
    </row>
    <row r="197" ht="14.25" customHeight="1" s="46">
      <c r="A197" s="2" t="n"/>
      <c r="B197" s="2" t="n"/>
      <c r="C197" s="2" t="n"/>
      <c r="D197" s="2" t="n"/>
      <c r="E197" s="2" t="n"/>
      <c r="F197" s="2" t="n"/>
      <c r="G197" s="2" t="n"/>
      <c r="H197" s="2" t="n"/>
      <c r="I197" s="2" t="n"/>
      <c r="J197" s="2" t="n"/>
      <c r="K197" s="2" t="n"/>
      <c r="L197" s="2" t="n"/>
    </row>
    <row r="198" ht="14.25" customHeight="1" s="46">
      <c r="A198" s="2" t="n"/>
      <c r="B198" s="2" t="n"/>
      <c r="C198" s="2" t="n"/>
      <c r="D198" s="2" t="n"/>
      <c r="E198" s="2" t="n"/>
      <c r="F198" s="2" t="n"/>
      <c r="G198" s="2" t="n"/>
      <c r="H198" s="2" t="n"/>
      <c r="I198" s="2" t="n"/>
      <c r="J198" s="2" t="n"/>
      <c r="K198" s="2" t="n"/>
      <c r="L198" s="2" t="n"/>
    </row>
    <row r="199" ht="14.25" customHeight="1" s="46">
      <c r="A199" s="2" t="n"/>
      <c r="B199" s="2" t="n"/>
      <c r="C199" s="2" t="n"/>
      <c r="D199" s="2" t="n"/>
      <c r="E199" s="2" t="n"/>
      <c r="F199" s="2" t="n"/>
      <c r="G199" s="2" t="n"/>
      <c r="H199" s="2" t="n"/>
      <c r="I199" s="2" t="n"/>
      <c r="J199" s="2" t="n"/>
      <c r="K199" s="2" t="n"/>
      <c r="L199" s="2" t="n"/>
    </row>
    <row r="200" ht="14.25" customHeight="1" s="46">
      <c r="A200" s="2" t="n"/>
      <c r="B200" s="2" t="n"/>
      <c r="C200" s="2" t="n"/>
      <c r="D200" s="2" t="n"/>
      <c r="E200" s="2" t="n"/>
      <c r="F200" s="2" t="n"/>
      <c r="G200" s="2" t="n"/>
      <c r="H200" s="2" t="n"/>
      <c r="I200" s="2" t="n"/>
      <c r="J200" s="2" t="n"/>
      <c r="K200" s="2" t="n"/>
      <c r="L200" s="2" t="n"/>
    </row>
    <row r="201" ht="14.25" customHeight="1" s="46">
      <c r="A201" s="2" t="n"/>
      <c r="B201" s="2" t="n"/>
      <c r="C201" s="2" t="n"/>
      <c r="D201" s="2" t="n"/>
      <c r="E201" s="2" t="n"/>
      <c r="F201" s="2" t="n"/>
      <c r="G201" s="2" t="n"/>
      <c r="H201" s="2" t="n"/>
      <c r="I201" s="2" t="n"/>
      <c r="J201" s="2" t="n"/>
      <c r="K201" s="2" t="n"/>
      <c r="L201" s="2" t="n"/>
    </row>
    <row r="202" ht="14.25" customHeight="1" s="46">
      <c r="A202" s="2" t="n"/>
      <c r="B202" s="2" t="n"/>
      <c r="C202" s="2" t="n"/>
      <c r="D202" s="2" t="n"/>
      <c r="E202" s="2" t="n"/>
      <c r="F202" s="2" t="n"/>
      <c r="G202" s="2" t="n"/>
      <c r="H202" s="2" t="n"/>
      <c r="I202" s="2" t="n"/>
      <c r="J202" s="2" t="n"/>
      <c r="K202" s="2" t="n"/>
      <c r="L202" s="2" t="n"/>
    </row>
    <row r="203" ht="14.25" customHeight="1" s="46">
      <c r="A203" s="2" t="n"/>
      <c r="B203" s="2" t="n"/>
      <c r="C203" s="2" t="n"/>
      <c r="D203" s="2" t="n"/>
      <c r="E203" s="2" t="n"/>
      <c r="F203" s="2" t="n"/>
      <c r="G203" s="2" t="n"/>
      <c r="H203" s="2" t="n"/>
      <c r="I203" s="2" t="n"/>
      <c r="J203" s="2" t="n"/>
      <c r="K203" s="2" t="n"/>
      <c r="L203" s="2" t="n"/>
    </row>
    <row r="204" ht="14.25" customHeight="1" s="46">
      <c r="A204" s="2" t="n"/>
      <c r="B204" s="2" t="n"/>
      <c r="C204" s="2" t="n"/>
      <c r="D204" s="2" t="n"/>
      <c r="E204" s="2" t="n"/>
      <c r="F204" s="2" t="n"/>
      <c r="G204" s="2" t="n"/>
      <c r="H204" s="2" t="n"/>
      <c r="I204" s="2" t="n"/>
      <c r="J204" s="2" t="n"/>
      <c r="K204" s="2" t="n"/>
      <c r="L204" s="2" t="n"/>
    </row>
    <row r="205" ht="14.25" customHeight="1" s="46">
      <c r="A205" s="2" t="n"/>
      <c r="B205" s="2" t="n"/>
      <c r="C205" s="2" t="n"/>
      <c r="D205" s="2" t="n"/>
      <c r="E205" s="2" t="n"/>
      <c r="F205" s="2" t="n"/>
      <c r="G205" s="2" t="n"/>
      <c r="H205" s="2" t="n"/>
      <c r="I205" s="2" t="n"/>
      <c r="J205" s="2" t="n"/>
      <c r="K205" s="2" t="n"/>
      <c r="L205" s="2" t="n"/>
    </row>
    <row r="206" ht="14.25" customHeight="1" s="46">
      <c r="A206" s="2" t="n"/>
      <c r="B206" s="2" t="n"/>
      <c r="C206" s="2" t="n"/>
      <c r="D206" s="2" t="n"/>
      <c r="E206" s="2" t="n"/>
      <c r="F206" s="2" t="n"/>
      <c r="G206" s="2" t="n"/>
      <c r="H206" s="2" t="n"/>
      <c r="I206" s="2" t="n"/>
      <c r="J206" s="2" t="n"/>
      <c r="K206" s="2" t="n"/>
      <c r="L206" s="2" t="n"/>
    </row>
    <row r="207" ht="14.25" customHeight="1" s="46">
      <c r="A207" s="2" t="n"/>
      <c r="B207" s="2" t="n"/>
      <c r="C207" s="2" t="n"/>
      <c r="D207" s="2" t="n"/>
      <c r="E207" s="2" t="n"/>
      <c r="F207" s="2" t="n"/>
      <c r="G207" s="2" t="n"/>
      <c r="H207" s="2" t="n"/>
      <c r="I207" s="2" t="n"/>
      <c r="J207" s="2" t="n"/>
      <c r="K207" s="2" t="n"/>
      <c r="L207" s="2" t="n"/>
    </row>
    <row r="208" ht="14.25" customHeight="1" s="46">
      <c r="A208" s="2" t="n"/>
      <c r="B208" s="2" t="n"/>
      <c r="C208" s="2" t="n"/>
      <c r="D208" s="2" t="n"/>
      <c r="E208" s="2" t="n"/>
      <c r="F208" s="2" t="n"/>
      <c r="G208" s="2" t="n"/>
      <c r="H208" s="2" t="n"/>
      <c r="I208" s="2" t="n"/>
      <c r="J208" s="2" t="n"/>
      <c r="K208" s="2" t="n"/>
      <c r="L208" s="2" t="n"/>
    </row>
    <row r="209" ht="14.25" customHeight="1" s="46">
      <c r="A209" s="2" t="n"/>
      <c r="B209" s="2" t="n"/>
      <c r="C209" s="2" t="n"/>
      <c r="D209" s="2" t="n"/>
      <c r="E209" s="2" t="n"/>
      <c r="F209" s="2" t="n"/>
      <c r="G209" s="2" t="n"/>
      <c r="H209" s="2" t="n"/>
      <c r="I209" s="2" t="n"/>
      <c r="J209" s="2" t="n"/>
      <c r="K209" s="2" t="n"/>
      <c r="L209" s="2" t="n"/>
    </row>
    <row r="210" ht="14.25" customHeight="1" s="46">
      <c r="A210" s="2" t="n"/>
      <c r="B210" s="2" t="n"/>
      <c r="C210" s="2" t="n"/>
      <c r="D210" s="2" t="n"/>
      <c r="E210" s="2" t="n"/>
      <c r="F210" s="2" t="n"/>
      <c r="G210" s="2" t="n"/>
      <c r="H210" s="2" t="n"/>
      <c r="I210" s="2" t="n"/>
      <c r="J210" s="2" t="n"/>
      <c r="K210" s="2" t="n"/>
      <c r="L210" s="2" t="n"/>
    </row>
    <row r="211" ht="14.25" customHeight="1" s="46">
      <c r="A211" s="2" t="n"/>
      <c r="B211" s="2" t="n"/>
      <c r="C211" s="2" t="n"/>
      <c r="D211" s="2" t="n"/>
      <c r="E211" s="2" t="n"/>
      <c r="F211" s="2" t="n"/>
      <c r="G211" s="2" t="n"/>
      <c r="H211" s="2" t="n"/>
      <c r="I211" s="2" t="n"/>
      <c r="J211" s="2" t="n"/>
      <c r="K211" s="2" t="n"/>
      <c r="L211" s="2" t="n"/>
    </row>
    <row r="212" ht="14.25" customHeight="1" s="46">
      <c r="A212" s="2" t="n"/>
      <c r="B212" s="2" t="n"/>
      <c r="C212" s="2" t="n"/>
      <c r="D212" s="2" t="n"/>
      <c r="E212" s="2" t="n"/>
      <c r="F212" s="2" t="n"/>
      <c r="G212" s="2" t="n"/>
      <c r="H212" s="2" t="n"/>
      <c r="I212" s="2" t="n"/>
      <c r="J212" s="2" t="n"/>
      <c r="K212" s="2" t="n"/>
      <c r="L212" s="2" t="n"/>
    </row>
    <row r="213" ht="14.25" customHeight="1" s="46">
      <c r="A213" s="2" t="n"/>
      <c r="B213" s="2" t="n"/>
      <c r="C213" s="2" t="n"/>
      <c r="D213" s="2" t="n"/>
      <c r="E213" s="2" t="n"/>
      <c r="F213" s="2" t="n"/>
      <c r="G213" s="2" t="n"/>
      <c r="H213" s="2" t="n"/>
      <c r="I213" s="2" t="n"/>
      <c r="J213" s="2" t="n"/>
      <c r="K213" s="2" t="n"/>
      <c r="L213" s="2" t="n"/>
    </row>
    <row r="214" ht="14.25" customHeight="1" s="46">
      <c r="A214" s="2" t="n"/>
      <c r="B214" s="2" t="n"/>
      <c r="C214" s="2" t="n"/>
      <c r="D214" s="2" t="n"/>
      <c r="E214" s="2" t="n"/>
      <c r="F214" s="2" t="n"/>
      <c r="G214" s="2" t="n"/>
      <c r="H214" s="2" t="n"/>
      <c r="I214" s="2" t="n"/>
      <c r="J214" s="2" t="n"/>
      <c r="K214" s="2" t="n"/>
      <c r="L214" s="2" t="n"/>
    </row>
    <row r="215" ht="14.25" customHeight="1" s="46">
      <c r="A215" s="2" t="n"/>
      <c r="B215" s="2" t="n"/>
      <c r="C215" s="2" t="n"/>
      <c r="D215" s="2" t="n"/>
      <c r="E215" s="2" t="n"/>
      <c r="F215" s="2" t="n"/>
      <c r="G215" s="2" t="n"/>
      <c r="H215" s="2" t="n"/>
      <c r="I215" s="2" t="n"/>
      <c r="J215" s="2" t="n"/>
      <c r="K215" s="2" t="n"/>
      <c r="L215" s="2" t="n"/>
    </row>
    <row r="216" ht="14.25" customHeight="1" s="46">
      <c r="A216" s="2" t="n"/>
      <c r="B216" s="2" t="n"/>
      <c r="C216" s="2" t="n"/>
      <c r="D216" s="2" t="n"/>
      <c r="E216" s="2" t="n"/>
      <c r="F216" s="2" t="n"/>
      <c r="G216" s="2" t="n"/>
      <c r="H216" s="2" t="n"/>
      <c r="I216" s="2" t="n"/>
      <c r="J216" s="2" t="n"/>
      <c r="K216" s="2" t="n"/>
      <c r="L216" s="2" t="n"/>
    </row>
    <row r="217" ht="14.25" customHeight="1" s="46">
      <c r="A217" s="2" t="n"/>
      <c r="B217" s="2" t="n"/>
      <c r="C217" s="2" t="n"/>
      <c r="D217" s="2" t="n"/>
      <c r="E217" s="2" t="n"/>
      <c r="F217" s="2" t="n"/>
      <c r="G217" s="2" t="n"/>
      <c r="H217" s="2" t="n"/>
      <c r="I217" s="2" t="n"/>
      <c r="J217" s="2" t="n"/>
      <c r="K217" s="2" t="n"/>
      <c r="L217" s="2" t="n"/>
    </row>
    <row r="218" ht="14.25" customHeight="1" s="46">
      <c r="A218" s="2" t="n"/>
      <c r="B218" s="2" t="n"/>
      <c r="C218" s="2" t="n"/>
      <c r="D218" s="2" t="n"/>
      <c r="E218" s="2" t="n"/>
      <c r="F218" s="2" t="n"/>
      <c r="G218" s="2" t="n"/>
      <c r="H218" s="2" t="n"/>
      <c r="I218" s="2" t="n"/>
      <c r="J218" s="2" t="n"/>
      <c r="K218" s="2" t="n"/>
      <c r="L218" s="2" t="n"/>
    </row>
    <row r="219" ht="14.25" customHeight="1" s="46">
      <c r="A219" s="2" t="n"/>
      <c r="B219" s="2" t="n"/>
      <c r="C219" s="2" t="n"/>
      <c r="D219" s="2" t="n"/>
      <c r="E219" s="2" t="n"/>
      <c r="F219" s="2" t="n"/>
      <c r="G219" s="2" t="n"/>
      <c r="H219" s="2" t="n"/>
      <c r="I219" s="2" t="n"/>
      <c r="J219" s="2" t="n"/>
      <c r="K219" s="2" t="n"/>
      <c r="L219" s="2" t="n"/>
    </row>
    <row r="220" ht="14.25" customHeight="1" s="46">
      <c r="A220" s="2" t="n"/>
      <c r="B220" s="2" t="n"/>
      <c r="C220" s="2" t="n"/>
      <c r="D220" s="2" t="n"/>
      <c r="E220" s="2" t="n"/>
      <c r="F220" s="2" t="n"/>
      <c r="G220" s="2" t="n"/>
      <c r="H220" s="2" t="n"/>
      <c r="I220" s="2" t="n"/>
      <c r="J220" s="2" t="n"/>
      <c r="K220" s="2" t="n"/>
      <c r="L220" s="2" t="n"/>
    </row>
    <row r="221" ht="14.25" customHeight="1" s="46">
      <c r="A221" s="2" t="n"/>
      <c r="B221" s="2" t="n"/>
      <c r="C221" s="2" t="n"/>
      <c r="D221" s="2" t="n"/>
      <c r="E221" s="2" t="n"/>
      <c r="F221" s="2" t="n"/>
      <c r="G221" s="2" t="n"/>
      <c r="H221" s="2" t="n"/>
      <c r="I221" s="2" t="n"/>
      <c r="J221" s="2" t="n"/>
      <c r="K221" s="2" t="n"/>
      <c r="L221" s="2" t="n"/>
    </row>
    <row r="222" ht="14.25" customHeight="1" s="46">
      <c r="A222" s="2" t="n"/>
      <c r="B222" s="2" t="n"/>
      <c r="C222" s="2" t="n"/>
      <c r="D222" s="2" t="n"/>
      <c r="E222" s="2" t="n"/>
      <c r="F222" s="2" t="n"/>
      <c r="G222" s="2" t="n"/>
      <c r="H222" s="2" t="n"/>
      <c r="I222" s="2" t="n"/>
      <c r="J222" s="2" t="n"/>
      <c r="K222" s="2" t="n"/>
      <c r="L222" s="2" t="n"/>
    </row>
    <row r="223" ht="14.25" customHeight="1" s="46">
      <c r="A223" s="2" t="n"/>
      <c r="B223" s="2" t="n"/>
      <c r="C223" s="2" t="n"/>
      <c r="D223" s="2" t="n"/>
      <c r="E223" s="2" t="n"/>
      <c r="F223" s="2" t="n"/>
      <c r="G223" s="2" t="n"/>
      <c r="H223" s="2" t="n"/>
      <c r="I223" s="2" t="n"/>
      <c r="J223" s="2" t="n"/>
      <c r="K223" s="2" t="n"/>
      <c r="L223" s="2" t="n"/>
    </row>
    <row r="224" ht="14.25" customHeight="1" s="46">
      <c r="A224" s="2" t="n"/>
      <c r="B224" s="2" t="n"/>
      <c r="C224" s="2" t="n"/>
      <c r="D224" s="2" t="n"/>
      <c r="E224" s="2" t="n"/>
      <c r="F224" s="2" t="n"/>
      <c r="G224" s="2" t="n"/>
      <c r="H224" s="2" t="n"/>
      <c r="I224" s="2" t="n"/>
      <c r="J224" s="2" t="n"/>
      <c r="K224" s="2" t="n"/>
      <c r="L224" s="2" t="n"/>
    </row>
    <row r="225" ht="14.25" customHeight="1" s="46">
      <c r="A225" s="2" t="n"/>
      <c r="B225" s="2" t="n"/>
      <c r="C225" s="2" t="n"/>
      <c r="D225" s="2" t="n"/>
      <c r="E225" s="2" t="n"/>
      <c r="F225" s="2" t="n"/>
      <c r="G225" s="2" t="n"/>
      <c r="H225" s="2" t="n"/>
      <c r="I225" s="2" t="n"/>
      <c r="J225" s="2" t="n"/>
      <c r="K225" s="2" t="n"/>
      <c r="L225" s="2" t="n"/>
    </row>
    <row r="226" ht="14.25" customHeight="1" s="46">
      <c r="A226" s="2" t="n"/>
      <c r="B226" s="2" t="n"/>
      <c r="C226" s="2" t="n"/>
      <c r="D226" s="2" t="n"/>
      <c r="E226" s="2" t="n"/>
      <c r="F226" s="2" t="n"/>
      <c r="G226" s="2" t="n"/>
      <c r="H226" s="2" t="n"/>
      <c r="I226" s="2" t="n"/>
      <c r="J226" s="2" t="n"/>
      <c r="K226" s="2" t="n"/>
      <c r="L226" s="2" t="n"/>
    </row>
    <row r="227" ht="14.25" customHeight="1" s="46">
      <c r="A227" s="2" t="n"/>
      <c r="B227" s="2" t="n"/>
      <c r="C227" s="2" t="n"/>
      <c r="D227" s="2" t="n"/>
      <c r="E227" s="2" t="n"/>
      <c r="F227" s="2" t="n"/>
      <c r="G227" s="2" t="n"/>
      <c r="H227" s="2" t="n"/>
      <c r="I227" s="2" t="n"/>
      <c r="J227" s="2" t="n"/>
      <c r="K227" s="2" t="n"/>
      <c r="L227" s="2" t="n"/>
    </row>
    <row r="228" ht="14.25" customHeight="1" s="46">
      <c r="A228" s="2" t="n"/>
      <c r="B228" s="2" t="n"/>
      <c r="C228" s="2" t="n"/>
      <c r="D228" s="2" t="n"/>
      <c r="E228" s="2" t="n"/>
      <c r="F228" s="2" t="n"/>
      <c r="G228" s="2" t="n"/>
      <c r="H228" s="2" t="n"/>
      <c r="I228" s="2" t="n"/>
      <c r="J228" s="2" t="n"/>
      <c r="K228" s="2" t="n"/>
      <c r="L228" s="2" t="n"/>
    </row>
    <row r="229" ht="14.25" customHeight="1" s="46">
      <c r="A229" s="2" t="n"/>
      <c r="B229" s="2" t="n"/>
      <c r="C229" s="2" t="n"/>
      <c r="D229" s="2" t="n"/>
      <c r="E229" s="2" t="n"/>
      <c r="F229" s="2" t="n"/>
      <c r="G229" s="2" t="n"/>
      <c r="H229" s="2" t="n"/>
      <c r="I229" s="2" t="n"/>
      <c r="J229" s="2" t="n"/>
      <c r="K229" s="2" t="n"/>
      <c r="L229" s="2" t="n"/>
    </row>
    <row r="230" ht="14.25" customHeight="1" s="46">
      <c r="A230" s="2" t="n"/>
      <c r="B230" s="2" t="n"/>
      <c r="C230" s="2" t="n"/>
      <c r="D230" s="2" t="n"/>
      <c r="E230" s="2" t="n"/>
      <c r="F230" s="2" t="n"/>
      <c r="G230" s="2" t="n"/>
      <c r="H230" s="2" t="n"/>
      <c r="I230" s="2" t="n"/>
      <c r="J230" s="2" t="n"/>
      <c r="K230" s="2" t="n"/>
      <c r="L230" s="2" t="n"/>
    </row>
    <row r="231" ht="14.25" customHeight="1" s="46">
      <c r="A231" s="2" t="n"/>
      <c r="B231" s="2" t="n"/>
      <c r="C231" s="2" t="n"/>
      <c r="D231" s="2" t="n"/>
      <c r="E231" s="2" t="n"/>
      <c r="F231" s="2" t="n"/>
      <c r="G231" s="2" t="n"/>
      <c r="H231" s="2" t="n"/>
      <c r="I231" s="2" t="n"/>
      <c r="J231" s="2" t="n"/>
      <c r="K231" s="2" t="n"/>
      <c r="L231" s="2" t="n"/>
    </row>
    <row r="232" ht="14.25" customHeight="1" s="46">
      <c r="A232" s="2" t="n"/>
      <c r="B232" s="2" t="n"/>
      <c r="C232" s="2" t="n"/>
      <c r="D232" s="2" t="n"/>
      <c r="E232" s="2" t="n"/>
      <c r="F232" s="2" t="n"/>
      <c r="G232" s="2" t="n"/>
      <c r="H232" s="2" t="n"/>
      <c r="I232" s="2" t="n"/>
      <c r="J232" s="2" t="n"/>
      <c r="K232" s="2" t="n"/>
      <c r="L232" s="2" t="n"/>
    </row>
    <row r="233" ht="14.25" customHeight="1" s="46">
      <c r="A233" s="2" t="n"/>
      <c r="B233" s="2" t="n"/>
      <c r="C233" s="2" t="n"/>
      <c r="D233" s="2" t="n"/>
      <c r="E233" s="2" t="n"/>
      <c r="F233" s="2" t="n"/>
      <c r="G233" s="2" t="n"/>
      <c r="H233" s="2" t="n"/>
      <c r="I233" s="2" t="n"/>
      <c r="J233" s="2" t="n"/>
      <c r="K233" s="2" t="n"/>
      <c r="L233" s="2" t="n"/>
    </row>
    <row r="234" ht="14.25" customHeight="1" s="46">
      <c r="A234" s="2" t="n"/>
      <c r="B234" s="2" t="n"/>
      <c r="C234" s="2" t="n"/>
      <c r="D234" s="2" t="n"/>
      <c r="E234" s="2" t="n"/>
      <c r="F234" s="2" t="n"/>
      <c r="G234" s="2" t="n"/>
      <c r="H234" s="2" t="n"/>
      <c r="I234" s="2" t="n"/>
      <c r="J234" s="2" t="n"/>
      <c r="K234" s="2" t="n"/>
      <c r="L234" s="2" t="n"/>
    </row>
    <row r="235" ht="14.25" customHeight="1" s="46">
      <c r="A235" s="2" t="n"/>
      <c r="B235" s="2" t="n"/>
      <c r="C235" s="2" t="n"/>
      <c r="D235" s="2" t="n"/>
      <c r="E235" s="2" t="n"/>
      <c r="F235" s="2" t="n"/>
      <c r="G235" s="2" t="n"/>
      <c r="H235" s="2" t="n"/>
      <c r="I235" s="2" t="n"/>
      <c r="J235" s="2" t="n"/>
      <c r="K235" s="2" t="n"/>
      <c r="L235" s="2" t="n"/>
    </row>
    <row r="236" ht="14.25" customHeight="1" s="46">
      <c r="A236" s="2" t="n"/>
      <c r="B236" s="2" t="n"/>
      <c r="C236" s="2" t="n"/>
      <c r="D236" s="2" t="n"/>
      <c r="E236" s="2" t="n"/>
      <c r="F236" s="2" t="n"/>
      <c r="G236" s="2" t="n"/>
      <c r="H236" s="2" t="n"/>
      <c r="I236" s="2" t="n"/>
      <c r="J236" s="2" t="n"/>
      <c r="K236" s="2" t="n"/>
      <c r="L236" s="2" t="n"/>
    </row>
    <row r="237" ht="14.25" customHeight="1" s="46">
      <c r="A237" s="2" t="n"/>
      <c r="B237" s="2" t="n"/>
      <c r="C237" s="2" t="n"/>
      <c r="D237" s="2" t="n"/>
      <c r="E237" s="2" t="n"/>
      <c r="F237" s="2" t="n"/>
      <c r="G237" s="2" t="n"/>
      <c r="H237" s="2" t="n"/>
      <c r="I237" s="2" t="n"/>
      <c r="J237" s="2" t="n"/>
      <c r="K237" s="2" t="n"/>
      <c r="L237" s="2" t="n"/>
    </row>
    <row r="238" ht="14.25" customHeight="1" s="46">
      <c r="A238" s="2" t="n"/>
      <c r="B238" s="2" t="n"/>
      <c r="C238" s="2" t="n"/>
      <c r="D238" s="2" t="n"/>
      <c r="E238" s="2" t="n"/>
      <c r="F238" s="2" t="n"/>
      <c r="G238" s="2" t="n"/>
      <c r="H238" s="2" t="n"/>
      <c r="I238" s="2" t="n"/>
      <c r="J238" s="2" t="n"/>
      <c r="K238" s="2" t="n"/>
      <c r="L238" s="2" t="n"/>
    </row>
    <row r="239" ht="14.25" customHeight="1" s="46">
      <c r="A239" s="2" t="n"/>
      <c r="B239" s="2" t="n"/>
      <c r="C239" s="2" t="n"/>
      <c r="D239" s="2" t="n"/>
      <c r="E239" s="2" t="n"/>
      <c r="F239" s="2" t="n"/>
      <c r="G239" s="2" t="n"/>
      <c r="H239" s="2" t="n"/>
      <c r="I239" s="2" t="n"/>
      <c r="J239" s="2" t="n"/>
      <c r="K239" s="2" t="n"/>
      <c r="L239" s="2" t="n"/>
    </row>
    <row r="240" ht="14.25" customHeight="1" s="46">
      <c r="A240" s="2" t="n"/>
      <c r="B240" s="2" t="n"/>
      <c r="C240" s="2" t="n"/>
      <c r="D240" s="2" t="n"/>
      <c r="E240" s="2" t="n"/>
      <c r="F240" s="2" t="n"/>
      <c r="G240" s="2" t="n"/>
      <c r="H240" s="2" t="n"/>
      <c r="I240" s="2" t="n"/>
      <c r="J240" s="2" t="n"/>
      <c r="K240" s="2" t="n"/>
      <c r="L240" s="2" t="n"/>
    </row>
    <row r="241" ht="14.25" customHeight="1" s="46">
      <c r="A241" s="2" t="n"/>
      <c r="B241" s="2" t="n"/>
      <c r="C241" s="2" t="n"/>
      <c r="D241" s="2" t="n"/>
      <c r="E241" s="2" t="n"/>
      <c r="F241" s="2" t="n"/>
      <c r="G241" s="2" t="n"/>
      <c r="H241" s="2" t="n"/>
      <c r="I241" s="2" t="n"/>
      <c r="J241" s="2" t="n"/>
      <c r="K241" s="2" t="n"/>
      <c r="L241" s="2" t="n"/>
    </row>
    <row r="242" ht="14.25" customHeight="1" s="46">
      <c r="A242" s="2" t="n"/>
      <c r="B242" s="2" t="n"/>
      <c r="C242" s="2" t="n"/>
      <c r="D242" s="2" t="n"/>
      <c r="E242" s="2" t="n"/>
      <c r="F242" s="2" t="n"/>
      <c r="G242" s="2" t="n"/>
      <c r="H242" s="2" t="n"/>
      <c r="I242" s="2" t="n"/>
      <c r="J242" s="2" t="n"/>
      <c r="K242" s="2" t="n"/>
      <c r="L242" s="2" t="n"/>
    </row>
    <row r="243" ht="14.25" customHeight="1" s="46">
      <c r="A243" s="2" t="n"/>
      <c r="B243" s="2" t="n"/>
      <c r="C243" s="2" t="n"/>
      <c r="D243" s="2" t="n"/>
      <c r="E243" s="2" t="n"/>
      <c r="F243" s="2" t="n"/>
      <c r="G243" s="2" t="n"/>
      <c r="H243" s="2" t="n"/>
      <c r="I243" s="2" t="n"/>
      <c r="J243" s="2" t="n"/>
      <c r="K243" s="2" t="n"/>
      <c r="L243" s="2" t="n"/>
    </row>
    <row r="244" ht="14.25" customHeight="1" s="46">
      <c r="A244" s="2" t="n"/>
      <c r="B244" s="2" t="n"/>
      <c r="C244" s="2" t="n"/>
      <c r="D244" s="2" t="n"/>
      <c r="E244" s="2" t="n"/>
      <c r="F244" s="2" t="n"/>
      <c r="G244" s="2" t="n"/>
      <c r="H244" s="2" t="n"/>
      <c r="I244" s="2" t="n"/>
      <c r="J244" s="2" t="n"/>
      <c r="K244" s="2" t="n"/>
      <c r="L244" s="2" t="n"/>
    </row>
    <row r="245" ht="14.25" customHeight="1" s="46">
      <c r="A245" s="2" t="n"/>
      <c r="B245" s="2" t="n"/>
      <c r="C245" s="2" t="n"/>
      <c r="D245" s="2" t="n"/>
      <c r="E245" s="2" t="n"/>
      <c r="F245" s="2" t="n"/>
      <c r="G245" s="2" t="n"/>
      <c r="H245" s="2" t="n"/>
      <c r="I245" s="2" t="n"/>
      <c r="J245" s="2" t="n"/>
      <c r="K245" s="2" t="n"/>
      <c r="L245" s="2" t="n"/>
    </row>
    <row r="246" ht="14.25" customHeight="1" s="46">
      <c r="A246" s="2" t="n"/>
      <c r="B246" s="2" t="n"/>
      <c r="C246" s="2" t="n"/>
      <c r="D246" s="2" t="n"/>
      <c r="E246" s="2" t="n"/>
      <c r="F246" s="2" t="n"/>
      <c r="G246" s="2" t="n"/>
      <c r="H246" s="2" t="n"/>
      <c r="I246" s="2" t="n"/>
      <c r="J246" s="2" t="n"/>
      <c r="K246" s="2" t="n"/>
      <c r="L246" s="2" t="n"/>
    </row>
    <row r="247" ht="14.25" customHeight="1" s="46">
      <c r="A247" s="2" t="n"/>
      <c r="B247" s="2" t="n"/>
      <c r="C247" s="2" t="n"/>
      <c r="D247" s="2" t="n"/>
      <c r="E247" s="2" t="n"/>
      <c r="F247" s="2" t="n"/>
      <c r="G247" s="2" t="n"/>
      <c r="H247" s="2" t="n"/>
      <c r="I247" s="2" t="n"/>
      <c r="J247" s="2" t="n"/>
      <c r="K247" s="2" t="n"/>
      <c r="L247" s="2" t="n"/>
    </row>
    <row r="248" ht="14.25" customHeight="1" s="46">
      <c r="A248" s="2" t="n"/>
      <c r="B248" s="2" t="n"/>
      <c r="C248" s="2" t="n"/>
      <c r="D248" s="2" t="n"/>
      <c r="E248" s="2" t="n"/>
      <c r="F248" s="2" t="n"/>
      <c r="G248" s="2" t="n"/>
      <c r="H248" s="2" t="n"/>
      <c r="I248" s="2" t="n"/>
      <c r="J248" s="2" t="n"/>
      <c r="K248" s="2" t="n"/>
      <c r="L248" s="2" t="n"/>
    </row>
    <row r="249" ht="14.25" customHeight="1" s="46">
      <c r="A249" s="2" t="n"/>
      <c r="B249" s="2" t="n"/>
      <c r="C249" s="2" t="n"/>
      <c r="D249" s="2" t="n"/>
      <c r="E249" s="2" t="n"/>
      <c r="F249" s="2" t="n"/>
      <c r="G249" s="2" t="n"/>
      <c r="H249" s="2" t="n"/>
      <c r="I249" s="2" t="n"/>
      <c r="J249" s="2" t="n"/>
      <c r="K249" s="2" t="n"/>
      <c r="L249" s="2" t="n"/>
    </row>
    <row r="250" ht="14.25" customHeight="1" s="46">
      <c r="A250" s="2" t="n"/>
      <c r="B250" s="2" t="n"/>
      <c r="C250" s="2" t="n"/>
      <c r="D250" s="2" t="n"/>
      <c r="E250" s="2" t="n"/>
      <c r="F250" s="2" t="n"/>
      <c r="G250" s="2" t="n"/>
      <c r="H250" s="2" t="n"/>
      <c r="I250" s="2" t="n"/>
      <c r="J250" s="2" t="n"/>
      <c r="K250" s="2" t="n"/>
      <c r="L250" s="2" t="n"/>
    </row>
    <row r="251" ht="14.25" customHeight="1" s="46">
      <c r="A251" s="2" t="n"/>
      <c r="B251" s="2" t="n"/>
      <c r="C251" s="2" t="n"/>
      <c r="D251" s="2" t="n"/>
      <c r="E251" s="2" t="n"/>
      <c r="F251" s="2" t="n"/>
      <c r="G251" s="2" t="n"/>
      <c r="H251" s="2" t="n"/>
      <c r="I251" s="2" t="n"/>
      <c r="J251" s="2" t="n"/>
      <c r="K251" s="2" t="n"/>
      <c r="L251" s="2" t="n"/>
    </row>
    <row r="252" ht="14.25" customHeight="1" s="46">
      <c r="A252" s="2" t="n"/>
      <c r="B252" s="2" t="n"/>
      <c r="C252" s="2" t="n"/>
      <c r="D252" s="2" t="n"/>
      <c r="E252" s="2" t="n"/>
      <c r="F252" s="2" t="n"/>
      <c r="G252" s="2" t="n"/>
      <c r="H252" s="2" t="n"/>
      <c r="I252" s="2" t="n"/>
      <c r="J252" s="2" t="n"/>
      <c r="K252" s="2" t="n"/>
      <c r="L252" s="2" t="n"/>
    </row>
    <row r="253" ht="14.25" customHeight="1" s="46">
      <c r="A253" s="2" t="n"/>
      <c r="B253" s="2" t="n"/>
      <c r="C253" s="2" t="n"/>
      <c r="D253" s="2" t="n"/>
      <c r="E253" s="2" t="n"/>
      <c r="F253" s="2" t="n"/>
      <c r="G253" s="2" t="n"/>
      <c r="H253" s="2" t="n"/>
      <c r="I253" s="2" t="n"/>
      <c r="J253" s="2" t="n"/>
      <c r="K253" s="2" t="n"/>
      <c r="L253" s="2" t="n"/>
    </row>
    <row r="254" ht="14.25" customHeight="1" s="46">
      <c r="A254" s="2" t="n"/>
      <c r="B254" s="2" t="n"/>
      <c r="C254" s="2" t="n"/>
      <c r="D254" s="2" t="n"/>
      <c r="E254" s="2" t="n"/>
      <c r="F254" s="2" t="n"/>
      <c r="G254" s="2" t="n"/>
      <c r="H254" s="2" t="n"/>
      <c r="I254" s="2" t="n"/>
      <c r="J254" s="2" t="n"/>
      <c r="K254" s="2" t="n"/>
      <c r="L254" s="2" t="n"/>
    </row>
    <row r="255" ht="14.25" customHeight="1" s="46">
      <c r="A255" s="2" t="n"/>
      <c r="B255" s="2" t="n"/>
      <c r="C255" s="2" t="n"/>
      <c r="D255" s="2" t="n"/>
      <c r="E255" s="2" t="n"/>
      <c r="F255" s="2" t="n"/>
      <c r="G255" s="2" t="n"/>
      <c r="H255" s="2" t="n"/>
      <c r="I255" s="2" t="n"/>
      <c r="J255" s="2" t="n"/>
      <c r="K255" s="2" t="n"/>
      <c r="L255" s="2" t="n"/>
    </row>
    <row r="256" ht="14.25" customHeight="1" s="46">
      <c r="A256" s="2" t="n"/>
      <c r="B256" s="2" t="n"/>
      <c r="C256" s="2" t="n"/>
      <c r="D256" s="2" t="n"/>
      <c r="E256" s="2" t="n"/>
      <c r="F256" s="2" t="n"/>
      <c r="G256" s="2" t="n"/>
      <c r="H256" s="2" t="n"/>
      <c r="I256" s="2" t="n"/>
      <c r="J256" s="2" t="n"/>
      <c r="K256" s="2" t="n"/>
      <c r="L256" s="2" t="n"/>
    </row>
    <row r="257" ht="14.25" customHeight="1" s="46">
      <c r="A257" s="2" t="n"/>
      <c r="B257" s="2" t="n"/>
      <c r="C257" s="2" t="n"/>
      <c r="D257" s="2" t="n"/>
      <c r="E257" s="2" t="n"/>
      <c r="F257" s="2" t="n"/>
      <c r="G257" s="2" t="n"/>
      <c r="H257" s="2" t="n"/>
      <c r="I257" s="2" t="n"/>
      <c r="J257" s="2" t="n"/>
      <c r="K257" s="2" t="n"/>
      <c r="L257" s="2" t="n"/>
    </row>
    <row r="258" ht="14.25" customHeight="1" s="46">
      <c r="A258" s="2" t="n"/>
      <c r="B258" s="2" t="n"/>
      <c r="C258" s="2" t="n"/>
      <c r="D258" s="2" t="n"/>
      <c r="E258" s="2" t="n"/>
      <c r="F258" s="2" t="n"/>
      <c r="G258" s="2" t="n"/>
      <c r="H258" s="2" t="n"/>
      <c r="I258" s="2" t="n"/>
      <c r="J258" s="2" t="n"/>
      <c r="K258" s="2" t="n"/>
      <c r="L258" s="2" t="n"/>
    </row>
    <row r="259" ht="14.25" customHeight="1" s="46">
      <c r="A259" s="2" t="n"/>
      <c r="B259" s="2" t="n"/>
      <c r="C259" s="2" t="n"/>
      <c r="D259" s="2" t="n"/>
      <c r="E259" s="2" t="n"/>
      <c r="F259" s="2" t="n"/>
      <c r="G259" s="2" t="n"/>
      <c r="H259" s="2" t="n"/>
      <c r="I259" s="2" t="n"/>
      <c r="J259" s="2" t="n"/>
      <c r="K259" s="2" t="n"/>
      <c r="L259" s="2" t="n"/>
    </row>
    <row r="260" ht="14.25" customHeight="1" s="46">
      <c r="A260" s="2" t="n"/>
      <c r="B260" s="2" t="n"/>
      <c r="C260" s="2" t="n"/>
      <c r="D260" s="2" t="n"/>
      <c r="E260" s="2" t="n"/>
      <c r="F260" s="2" t="n"/>
      <c r="G260" s="2" t="n"/>
      <c r="H260" s="2" t="n"/>
      <c r="I260" s="2" t="n"/>
      <c r="J260" s="2" t="n"/>
      <c r="K260" s="2" t="n"/>
      <c r="L260" s="2" t="n"/>
    </row>
    <row r="261" ht="14.25" customHeight="1" s="46">
      <c r="A261" s="2" t="n"/>
      <c r="B261" s="2" t="n"/>
      <c r="C261" s="2" t="n"/>
      <c r="D261" s="2" t="n"/>
      <c r="E261" s="2" t="n"/>
      <c r="F261" s="2" t="n"/>
      <c r="G261" s="2" t="n"/>
      <c r="H261" s="2" t="n"/>
      <c r="I261" s="2" t="n"/>
      <c r="J261" s="2" t="n"/>
      <c r="K261" s="2" t="n"/>
      <c r="L261" s="2" t="n"/>
    </row>
    <row r="262" ht="14.25" customHeight="1" s="46">
      <c r="A262" s="2" t="n"/>
      <c r="B262" s="2" t="n"/>
      <c r="C262" s="2" t="n"/>
      <c r="D262" s="2" t="n"/>
      <c r="E262" s="2" t="n"/>
      <c r="F262" s="2" t="n"/>
      <c r="G262" s="2" t="n"/>
      <c r="H262" s="2" t="n"/>
      <c r="I262" s="2" t="n"/>
      <c r="J262" s="2" t="n"/>
      <c r="K262" s="2" t="n"/>
      <c r="L262" s="2" t="n"/>
    </row>
    <row r="263" ht="14.25" customHeight="1" s="46">
      <c r="A263" s="2" t="n"/>
      <c r="B263" s="2" t="n"/>
      <c r="C263" s="2" t="n"/>
      <c r="D263" s="2" t="n"/>
      <c r="E263" s="2" t="n"/>
      <c r="F263" s="2" t="n"/>
      <c r="G263" s="2" t="n"/>
      <c r="H263" s="2" t="n"/>
      <c r="I263" s="2" t="n"/>
      <c r="J263" s="2" t="n"/>
      <c r="K263" s="2" t="n"/>
      <c r="L263" s="2" t="n"/>
    </row>
    <row r="264" ht="14.25" customHeight="1" s="46">
      <c r="A264" s="2" t="n"/>
      <c r="B264" s="2" t="n"/>
      <c r="C264" s="2" t="n"/>
      <c r="D264" s="2" t="n"/>
      <c r="E264" s="2" t="n"/>
      <c r="F264" s="2" t="n"/>
      <c r="G264" s="2" t="n"/>
      <c r="H264" s="2" t="n"/>
      <c r="I264" s="2" t="n"/>
      <c r="J264" s="2" t="n"/>
      <c r="K264" s="2" t="n"/>
      <c r="L264" s="2" t="n"/>
    </row>
    <row r="265" ht="14.25" customHeight="1" s="46">
      <c r="A265" s="2" t="n"/>
      <c r="B265" s="2" t="n"/>
      <c r="C265" s="2" t="n"/>
      <c r="D265" s="2" t="n"/>
      <c r="E265" s="2" t="n"/>
      <c r="F265" s="2" t="n"/>
      <c r="G265" s="2" t="n"/>
      <c r="H265" s="2" t="n"/>
      <c r="I265" s="2" t="n"/>
      <c r="J265" s="2" t="n"/>
      <c r="K265" s="2" t="n"/>
      <c r="L265" s="2" t="n"/>
    </row>
    <row r="266" ht="14.25" customHeight="1" s="46">
      <c r="A266" s="2" t="n"/>
      <c r="B266" s="2" t="n"/>
      <c r="C266" s="2" t="n"/>
      <c r="D266" s="2" t="n"/>
      <c r="E266" s="2" t="n"/>
      <c r="F266" s="2" t="n"/>
      <c r="G266" s="2" t="n"/>
      <c r="H266" s="2" t="n"/>
      <c r="I266" s="2" t="n"/>
      <c r="J266" s="2" t="n"/>
      <c r="K266" s="2" t="n"/>
      <c r="L266" s="2" t="n"/>
    </row>
    <row r="267" ht="14.25" customHeight="1" s="46">
      <c r="A267" s="2" t="n"/>
      <c r="B267" s="2" t="n"/>
      <c r="C267" s="2" t="n"/>
      <c r="D267" s="2" t="n"/>
      <c r="E267" s="2" t="n"/>
      <c r="F267" s="2" t="n"/>
      <c r="G267" s="2" t="n"/>
      <c r="H267" s="2" t="n"/>
      <c r="I267" s="2" t="n"/>
      <c r="J267" s="2" t="n"/>
      <c r="K267" s="2" t="n"/>
      <c r="L267" s="2" t="n"/>
    </row>
    <row r="268" ht="14.25" customHeight="1" s="46">
      <c r="A268" s="2" t="n"/>
      <c r="B268" s="2" t="n"/>
      <c r="C268" s="2" t="n"/>
      <c r="D268" s="2" t="n"/>
      <c r="E268" s="2" t="n"/>
      <c r="F268" s="2" t="n"/>
      <c r="G268" s="2" t="n"/>
      <c r="H268" s="2" t="n"/>
      <c r="I268" s="2" t="n"/>
      <c r="J268" s="2" t="n"/>
      <c r="K268" s="2" t="n"/>
      <c r="L268" s="2" t="n"/>
    </row>
    <row r="269" ht="14.25" customHeight="1" s="46">
      <c r="A269" s="2" t="n"/>
      <c r="B269" s="2" t="n"/>
      <c r="C269" s="2" t="n"/>
      <c r="D269" s="2" t="n"/>
      <c r="E269" s="2" t="n"/>
      <c r="F269" s="2" t="n"/>
      <c r="G269" s="2" t="n"/>
      <c r="H269" s="2" t="n"/>
      <c r="I269" s="2" t="n"/>
      <c r="J269" s="2" t="n"/>
      <c r="K269" s="2" t="n"/>
      <c r="L269" s="2" t="n"/>
    </row>
    <row r="270" ht="14.25" customHeight="1" s="46">
      <c r="A270" s="2" t="n"/>
      <c r="B270" s="2" t="n"/>
      <c r="C270" s="2" t="n"/>
      <c r="D270" s="2" t="n"/>
      <c r="E270" s="2" t="n"/>
      <c r="F270" s="2" t="n"/>
      <c r="G270" s="2" t="n"/>
      <c r="H270" s="2" t="n"/>
      <c r="I270" s="2" t="n"/>
      <c r="J270" s="2" t="n"/>
      <c r="K270" s="2" t="n"/>
      <c r="L270" s="2" t="n"/>
    </row>
    <row r="271" ht="14.25" customHeight="1" s="46">
      <c r="A271" s="2" t="n"/>
      <c r="B271" s="2" t="n"/>
      <c r="C271" s="2" t="n"/>
      <c r="D271" s="2" t="n"/>
      <c r="E271" s="2" t="n"/>
      <c r="F271" s="2" t="n"/>
      <c r="G271" s="2" t="n"/>
      <c r="H271" s="2" t="n"/>
      <c r="I271" s="2" t="n"/>
      <c r="J271" s="2" t="n"/>
      <c r="K271" s="2" t="n"/>
      <c r="L271" s="2" t="n"/>
    </row>
    <row r="272" ht="14.25" customHeight="1" s="46">
      <c r="A272" s="2" t="n"/>
      <c r="B272" s="2" t="n"/>
      <c r="C272" s="2" t="n"/>
      <c r="D272" s="2" t="n"/>
      <c r="E272" s="2" t="n"/>
      <c r="F272" s="2" t="n"/>
      <c r="G272" s="2" t="n"/>
      <c r="H272" s="2" t="n"/>
      <c r="I272" s="2" t="n"/>
      <c r="J272" s="2" t="n"/>
      <c r="K272" s="2" t="n"/>
      <c r="L272" s="2" t="n"/>
    </row>
    <row r="273" ht="14.25" customHeight="1" s="46">
      <c r="A273" s="2" t="n"/>
      <c r="B273" s="2" t="n"/>
      <c r="C273" s="2" t="n"/>
      <c r="D273" s="2" t="n"/>
      <c r="E273" s="2" t="n"/>
      <c r="F273" s="2" t="n"/>
      <c r="G273" s="2" t="n"/>
      <c r="H273" s="2" t="n"/>
      <c r="I273" s="2" t="n"/>
      <c r="J273" s="2" t="n"/>
      <c r="K273" s="2" t="n"/>
      <c r="L273" s="2" t="n"/>
    </row>
    <row r="274" ht="14.25" customHeight="1" s="46">
      <c r="A274" s="2" t="n"/>
      <c r="B274" s="2" t="n"/>
      <c r="C274" s="2" t="n"/>
      <c r="D274" s="2" t="n"/>
      <c r="E274" s="2" t="n"/>
      <c r="F274" s="2" t="n"/>
      <c r="G274" s="2" t="n"/>
      <c r="H274" s="2" t="n"/>
      <c r="I274" s="2" t="n"/>
      <c r="J274" s="2" t="n"/>
      <c r="K274" s="2" t="n"/>
      <c r="L274" s="2" t="n"/>
    </row>
    <row r="275" ht="14.25" customHeight="1" s="46">
      <c r="A275" s="2" t="n"/>
      <c r="B275" s="2" t="n"/>
      <c r="C275" s="2" t="n"/>
      <c r="D275" s="2" t="n"/>
      <c r="E275" s="2" t="n"/>
      <c r="F275" s="2" t="n"/>
      <c r="G275" s="2" t="n"/>
      <c r="H275" s="2" t="n"/>
      <c r="I275" s="2" t="n"/>
      <c r="J275" s="2" t="n"/>
      <c r="K275" s="2" t="n"/>
      <c r="L275" s="2" t="n"/>
    </row>
    <row r="276" ht="14.25" customHeight="1" s="46">
      <c r="A276" s="2" t="n"/>
      <c r="B276" s="2" t="n"/>
      <c r="C276" s="2" t="n"/>
      <c r="D276" s="2" t="n"/>
      <c r="E276" s="2" t="n"/>
      <c r="F276" s="2" t="n"/>
      <c r="G276" s="2" t="n"/>
      <c r="H276" s="2" t="n"/>
      <c r="I276" s="2" t="n"/>
      <c r="J276" s="2" t="n"/>
      <c r="K276" s="2" t="n"/>
      <c r="L276" s="2" t="n"/>
    </row>
    <row r="277" ht="14.25" customHeight="1" s="46">
      <c r="A277" s="2" t="n"/>
      <c r="B277" s="2" t="n"/>
      <c r="C277" s="2" t="n"/>
      <c r="D277" s="2" t="n"/>
      <c r="E277" s="2" t="n"/>
      <c r="F277" s="2" t="n"/>
      <c r="G277" s="2" t="n"/>
      <c r="H277" s="2" t="n"/>
      <c r="I277" s="2" t="n"/>
      <c r="J277" s="2" t="n"/>
      <c r="K277" s="2" t="n"/>
      <c r="L277" s="2" t="n"/>
    </row>
    <row r="278" ht="14.25" customHeight="1" s="46">
      <c r="A278" s="2" t="n"/>
      <c r="B278" s="2" t="n"/>
      <c r="C278" s="2" t="n"/>
      <c r="D278" s="2" t="n"/>
      <c r="E278" s="2" t="n"/>
      <c r="F278" s="2" t="n"/>
      <c r="G278" s="2" t="n"/>
      <c r="H278" s="2" t="n"/>
      <c r="I278" s="2" t="n"/>
      <c r="J278" s="2" t="n"/>
      <c r="K278" s="2" t="n"/>
      <c r="L278" s="2" t="n"/>
    </row>
    <row r="279" ht="14.25" customHeight="1" s="46">
      <c r="A279" s="2" t="n"/>
      <c r="B279" s="2" t="n"/>
      <c r="C279" s="2" t="n"/>
      <c r="D279" s="2" t="n"/>
      <c r="E279" s="2" t="n"/>
      <c r="F279" s="2" t="n"/>
      <c r="G279" s="2" t="n"/>
      <c r="H279" s="2" t="n"/>
      <c r="I279" s="2" t="n"/>
      <c r="J279" s="2" t="n"/>
      <c r="K279" s="2" t="n"/>
      <c r="L279" s="2" t="n"/>
    </row>
    <row r="280" ht="14.25" customHeight="1" s="46">
      <c r="A280" s="2" t="n"/>
      <c r="B280" s="2" t="n"/>
      <c r="C280" s="2" t="n"/>
      <c r="D280" s="2" t="n"/>
      <c r="E280" s="2" t="n"/>
      <c r="F280" s="2" t="n"/>
      <c r="G280" s="2" t="n"/>
      <c r="H280" s="2" t="n"/>
      <c r="I280" s="2" t="n"/>
      <c r="J280" s="2" t="n"/>
      <c r="K280" s="2" t="n"/>
      <c r="L280" s="2" t="n"/>
    </row>
    <row r="281" ht="14.25" customHeight="1" s="46">
      <c r="A281" s="2" t="n"/>
      <c r="B281" s="2" t="n"/>
      <c r="C281" s="2" t="n"/>
      <c r="D281" s="2" t="n"/>
      <c r="E281" s="2" t="n"/>
      <c r="F281" s="2" t="n"/>
      <c r="G281" s="2" t="n"/>
      <c r="H281" s="2" t="n"/>
      <c r="I281" s="2" t="n"/>
      <c r="J281" s="2" t="n"/>
      <c r="K281" s="2" t="n"/>
      <c r="L281" s="2" t="n"/>
    </row>
    <row r="282" ht="14.25" customHeight="1" s="46">
      <c r="A282" s="2" t="n"/>
      <c r="B282" s="2" t="n"/>
      <c r="C282" s="2" t="n"/>
      <c r="D282" s="2" t="n"/>
      <c r="E282" s="2" t="n"/>
      <c r="F282" s="2" t="n"/>
      <c r="G282" s="2" t="n"/>
      <c r="H282" s="2" t="n"/>
      <c r="I282" s="2" t="n"/>
      <c r="J282" s="2" t="n"/>
      <c r="K282" s="2" t="n"/>
      <c r="L282" s="2" t="n"/>
    </row>
    <row r="283" ht="14.25" customHeight="1" s="46">
      <c r="A283" s="2" t="n"/>
      <c r="B283" s="2" t="n"/>
      <c r="C283" s="2" t="n"/>
      <c r="D283" s="2" t="n"/>
      <c r="E283" s="2" t="n"/>
      <c r="F283" s="2" t="n"/>
      <c r="G283" s="2" t="n"/>
      <c r="H283" s="2" t="n"/>
      <c r="I283" s="2" t="n"/>
      <c r="J283" s="2" t="n"/>
      <c r="K283" s="2" t="n"/>
      <c r="L283" s="2" t="n"/>
    </row>
    <row r="284" ht="14.25" customHeight="1" s="46">
      <c r="A284" s="2" t="n"/>
      <c r="B284" s="2" t="n"/>
      <c r="C284" s="2" t="n"/>
      <c r="D284" s="2" t="n"/>
      <c r="E284" s="2" t="n"/>
      <c r="F284" s="2" t="n"/>
      <c r="G284" s="2" t="n"/>
      <c r="H284" s="2" t="n"/>
      <c r="I284" s="2" t="n"/>
      <c r="J284" s="2" t="n"/>
      <c r="K284" s="2" t="n"/>
      <c r="L284" s="2" t="n"/>
    </row>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8.xml><?xml version="1.0" encoding="utf-8"?>
<worksheet xmlns="http://schemas.openxmlformats.org/spreadsheetml/2006/main">
  <sheetPr>
    <outlinePr summaryBelow="1" summaryRight="1"/>
    <pageSetUpPr/>
  </sheetPr>
  <dimension ref="A1:D22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0" customWidth="1" style="46" min="2" max="2"/>
    <col width="62" customWidth="1" style="46" min="3" max="3"/>
    <col width="40" customWidth="1" style="46" min="4" max="4"/>
    <col width="8.57" customWidth="1" style="46" min="5" max="6"/>
  </cols>
  <sheetData>
    <row r="1" ht="5.25" customHeight="1" s="46">
      <c r="A1" s="1" t="inlineStr">
        <is>
          <t>Step 2: decisions</t>
        </is>
      </c>
      <c r="B1" s="2" t="n"/>
      <c r="C1" s="2" t="n"/>
      <c r="D1" s="2" t="n"/>
    </row>
    <row r="2" ht="14.25" customHeight="1" s="46">
      <c r="A2" s="3" t="inlineStr">
        <is>
          <t>My recommendation first; yours in the yellow column.</t>
        </is>
      </c>
      <c r="B2" s="2" t="n"/>
      <c r="C2" s="2" t="n"/>
      <c r="D2" s="2" t="n"/>
    </row>
    <row r="3" ht="14.25" customHeight="1" s="46">
      <c r="A3" s="2" t="n"/>
      <c r="B3" s="2" t="n"/>
      <c r="C3" s="2" t="n"/>
      <c r="D3" s="2" t="n"/>
    </row>
    <row r="4" ht="14.25" customHeight="1" s="46">
      <c r="A4" s="9" t="inlineStr">
        <is>
          <t>#</t>
        </is>
      </c>
      <c r="B4" s="9" t="inlineStr">
        <is>
          <t>Question</t>
        </is>
      </c>
      <c r="C4" s="9" t="inlineStr">
        <is>
          <t>My recommendation</t>
        </is>
      </c>
      <c r="D4" s="9" t="inlineStr">
        <is>
          <t>Your answer</t>
        </is>
      </c>
    </row>
    <row r="5" ht="55.5" customHeight="1" s="46">
      <c r="A5" s="7" t="n">
        <v>1</v>
      </c>
      <c r="B5" s="7" t="inlineStr">
        <is>
          <t>Boots move up from the Townhouse to the Merchant's House.</t>
        </is>
      </c>
      <c r="C5" s="7" t="inlineStr">
        <is>
          <t>Yes. It makes the Townhouse fit its knowledge budget, and leather was the Townhouse's third new line anyway (G17).</t>
        </is>
      </c>
      <c r="D5" s="45" t="inlineStr">
        <is>
          <t>I think they should be both garment needs and either is enough to Townhouse, while merchant needs both</t>
        </is>
      </c>
    </row>
    <row r="6" ht="42" customHeight="1" s="46">
      <c r="A6" s="7" t="n">
        <v>2</v>
      </c>
      <c r="B6" s="7" t="inlineStr">
        <is>
          <t>The Merchant's House is built with mortar and glass instead of planks and tools.</t>
        </is>
      </c>
      <c r="C6" s="7" t="inlineStr">
        <is>
          <t>Yes: mortar and glass get the use they lack, and the stone town looks the part.</t>
        </is>
      </c>
      <c r="D6" s="45" t="inlineStr">
        <is>
          <t>Yes</t>
        </is>
      </c>
    </row>
    <row r="7" ht="42" customHeight="1" s="46">
      <c r="A7" s="7" t="n">
        <v>3</v>
      </c>
      <c r="B7" s="7" t="inlineStr">
        <is>
          <t>A fifth home level, the Patrician House, for the City.</t>
        </is>
      </c>
      <c r="C7" s="7" t="inlineStr">
        <is>
          <t>Yes, but small: it gives the City a home to grow into and stained glass and fine clothes a steady demand.</t>
        </is>
      </c>
      <c r="D7" s="45" t="inlineStr">
        <is>
          <t>Coments on the appropriate section</t>
        </is>
      </c>
    </row>
    <row r="8" ht="42" customHeight="1" s="46">
      <c r="A8" s="7" t="n">
        <v>4</v>
      </c>
      <c r="B8" s="7" t="inlineStr">
        <is>
          <t>A Bathhouse as a Merchant's House need.</t>
        </is>
      </c>
      <c r="C8" s="7" t="inlineStr">
        <is>
          <t>Yes: a service the well-to-do want, and a civic use for fuel. If not, the stone church alone.</t>
        </is>
      </c>
      <c r="D8" s="45" t="inlineStr">
        <is>
          <t>Yes</t>
        </is>
      </c>
    </row>
    <row r="9" ht="42" customHeight="1" s="46">
      <c r="A9" s="7" t="n">
        <v>5</v>
      </c>
      <c r="B9" s="7" t="inlineStr">
        <is>
          <t>Tax Office: 40 villagers each, 1 paper a month; tally sticks or no paper, half.</t>
        </is>
      </c>
      <c r="C9" s="7" t="inlineStr">
        <is>
          <t>Yes to start; the other feeds (wax tablets, parchment) only if a line needs a new use.</t>
        </is>
      </c>
      <c r="D9" s="45" t="inlineStr">
        <is>
          <t>Changed unlock, was only in city</t>
        </is>
      </c>
    </row>
    <row r="10" ht="27.75" customHeight="1" s="46">
      <c r="A10" s="7" t="n">
        <v>6</v>
      </c>
      <c r="B10" s="7" t="inlineStr">
        <is>
          <t>The Trading Post is free from the start.</t>
        </is>
      </c>
      <c r="C10" s="7" t="inlineStr">
        <is>
          <t>Yes: the Hamlet needs to buy tools and sell surplus before there are taxes.</t>
        </is>
      </c>
      <c r="D10" s="45" t="inlineStr">
        <is>
          <t>yes</t>
        </is>
      </c>
    </row>
    <row r="11" ht="42" customHeight="1" s="46">
      <c r="A11" s="7" t="n">
        <v>7</v>
      </c>
      <c r="B11" s="7" t="inlineStr">
        <is>
          <t>Does a fountain (decoration) also count as water for homes?</t>
        </is>
      </c>
      <c r="C11" s="7" t="inlineStr">
        <is>
          <t>Yes, a little closer reach than a well: a reason to build pretty water in the town centre.</t>
        </is>
      </c>
      <c r="D11" s="45" t="inlineStr">
        <is>
          <t>Much closer reach</t>
        </is>
      </c>
    </row>
    <row r="12" ht="55.5" customHeight="1" s="46">
      <c r="A12" s="7" t="n">
        <v>8</v>
      </c>
      <c r="B12" s="7" t="inlineStr">
        <is>
          <t>Public School or Sunday School?</t>
        </is>
      </c>
      <c r="C12" s="7" t="inlineStr">
        <is>
          <t>Both, as you described: the school is a building, the Sunday school a church extension (step 4). A town picks one or both.</t>
        </is>
      </c>
      <c r="D12" s="45" t="inlineStr">
        <is>
          <t>Both</t>
        </is>
      </c>
    </row>
    <row r="13" ht="42" customHeight="1" s="46">
      <c r="A13" s="7" t="n">
        <v>9</v>
      </c>
      <c r="B13" s="7" t="inlineStr">
        <is>
          <t>The manor becomes required for taxes. Should its first level be cheaper?</t>
        </is>
      </c>
      <c r="C13" s="7" t="inlineStr">
        <is>
          <t>Yes: 40 timber, 15 planks, 20 coins, so a Hamlet can afford it in its first year.</t>
        </is>
      </c>
      <c r="D13" s="45" t="inlineStr">
        <is>
          <t>Yes</t>
        </is>
      </c>
    </row>
    <row r="14" ht="14.25" customHeight="1" s="46">
      <c r="A14" s="2" t="n"/>
      <c r="B14" s="2" t="n"/>
      <c r="C14" s="2" t="n"/>
      <c r="D14" s="2" t="n"/>
    </row>
    <row r="15" ht="14.25" customHeight="1" s="46">
      <c r="A15" s="2" t="n"/>
      <c r="B15" s="2" t="n"/>
      <c r="C15" s="2" t="n"/>
      <c r="D15" s="2" t="n"/>
    </row>
    <row r="16" ht="14.25" customHeight="1" s="46">
      <c r="A16" s="2" t="n"/>
      <c r="B16" s="2" t="n"/>
      <c r="C16" s="2" t="n"/>
      <c r="D16" s="2" t="n"/>
    </row>
    <row r="17" ht="14.25" customHeight="1" s="46">
      <c r="A17" s="2" t="n"/>
      <c r="B17" s="2" t="n"/>
      <c r="C17" s="2" t="n"/>
      <c r="D17" s="2" t="n"/>
    </row>
    <row r="18" ht="14.25" customHeight="1" s="46">
      <c r="A18" s="2" t="n"/>
      <c r="B18" s="2" t="n"/>
      <c r="C18" s="2" t="n"/>
      <c r="D18" s="2" t="n"/>
    </row>
    <row r="19" ht="14.25" customHeight="1" s="46">
      <c r="A19" s="2" t="n"/>
      <c r="B19" s="2" t="n"/>
      <c r="C19" s="2" t="n"/>
      <c r="D19" s="2" t="n"/>
    </row>
    <row r="20" ht="14.25" customHeight="1" s="46">
      <c r="A20" s="2" t="n"/>
      <c r="B20" s="2" t="n"/>
      <c r="C20" s="2" t="n"/>
      <c r="D20" s="2" t="n"/>
    </row>
    <row r="21" ht="14.25" customHeight="1" s="46">
      <c r="A21" s="2" t="n"/>
      <c r="B21" s="2" t="n"/>
      <c r="C21" s="2" t="n"/>
      <c r="D21" s="2" t="n"/>
    </row>
    <row r="22" ht="14.25" customHeight="1" s="46">
      <c r="A22" s="2" t="n"/>
      <c r="B22" s="2" t="n"/>
      <c r="C22" s="2" t="n"/>
      <c r="D22" s="2" t="n"/>
    </row>
    <row r="23" ht="14.25" customHeight="1" s="46">
      <c r="A23" s="2" t="n"/>
      <c r="B23" s="2" t="n"/>
      <c r="C23" s="2" t="n"/>
      <c r="D23" s="2" t="n"/>
    </row>
    <row r="24" ht="14.25" customHeight="1" s="46">
      <c r="A24" s="2" t="n"/>
      <c r="B24" s="2" t="n"/>
      <c r="C24" s="2" t="n"/>
      <c r="D24" s="2" t="n"/>
    </row>
    <row r="25" ht="14.25" customHeight="1" s="46">
      <c r="A25" s="2" t="n"/>
      <c r="B25" s="2" t="n"/>
      <c r="C25" s="2" t="n"/>
      <c r="D25" s="2" t="n"/>
    </row>
    <row r="26" ht="14.25" customHeight="1" s="46">
      <c r="A26" s="2" t="n"/>
      <c r="B26" s="2" t="n"/>
      <c r="C26" s="2" t="n"/>
      <c r="D26" s="2" t="n"/>
    </row>
    <row r="27" ht="14.25" customHeight="1" s="46">
      <c r="A27" s="2" t="n"/>
      <c r="B27" s="2" t="n"/>
      <c r="C27" s="2" t="n"/>
      <c r="D27" s="2" t="n"/>
    </row>
    <row r="28" ht="14.25" customHeight="1" s="46">
      <c r="A28" s="2" t="n"/>
      <c r="B28" s="2" t="n"/>
      <c r="C28" s="2" t="n"/>
      <c r="D28" s="2" t="n"/>
    </row>
    <row r="29" ht="14.25" customHeight="1" s="46">
      <c r="A29" s="2" t="n"/>
      <c r="B29" s="2" t="n"/>
      <c r="C29" s="2" t="n"/>
      <c r="D29" s="2" t="n"/>
    </row>
    <row r="30" ht="14.25" customHeight="1" s="46">
      <c r="A30" s="2" t="n"/>
      <c r="B30" s="2" t="n"/>
      <c r="C30" s="2" t="n"/>
      <c r="D30" s="2" t="n"/>
    </row>
    <row r="31" ht="14.25" customHeight="1" s="46">
      <c r="A31" s="2" t="n"/>
      <c r="B31" s="2" t="n"/>
      <c r="C31" s="2" t="n"/>
      <c r="D31" s="2" t="n"/>
    </row>
    <row r="32" ht="14.25" customHeight="1" s="46">
      <c r="A32" s="2" t="n"/>
      <c r="B32" s="2" t="n"/>
      <c r="C32" s="2" t="n"/>
      <c r="D32" s="2" t="n"/>
    </row>
    <row r="33" ht="14.25" customHeight="1" s="46">
      <c r="A33" s="2" t="n"/>
      <c r="B33" s="2" t="n"/>
      <c r="C33" s="2" t="n"/>
      <c r="D33" s="2" t="n"/>
    </row>
    <row r="34" ht="14.25" customHeight="1" s="46">
      <c r="A34" s="2" t="n"/>
      <c r="B34" s="2" t="n"/>
      <c r="C34" s="2" t="n"/>
      <c r="D34" s="2" t="n"/>
    </row>
    <row r="35" ht="14.25" customHeight="1" s="46">
      <c r="A35" s="2" t="n"/>
      <c r="B35" s="2" t="n"/>
      <c r="C35" s="2" t="n"/>
      <c r="D35" s="2" t="n"/>
    </row>
    <row r="36" ht="14.25" customHeight="1" s="46">
      <c r="A36" s="2" t="n"/>
      <c r="B36" s="2" t="n"/>
      <c r="C36" s="2" t="n"/>
      <c r="D36" s="2" t="n"/>
    </row>
    <row r="37" ht="14.25" customHeight="1" s="46">
      <c r="A37" s="2" t="n"/>
      <c r="B37" s="2" t="n"/>
      <c r="C37" s="2" t="n"/>
      <c r="D37" s="2" t="n"/>
    </row>
    <row r="38" ht="14.25" customHeight="1" s="46">
      <c r="A38" s="2" t="n"/>
      <c r="B38" s="2" t="n"/>
      <c r="C38" s="2" t="n"/>
      <c r="D38" s="2" t="n"/>
    </row>
    <row r="39" ht="14.25" customHeight="1" s="46">
      <c r="A39" s="2" t="n"/>
      <c r="B39" s="2" t="n"/>
      <c r="C39" s="2" t="n"/>
      <c r="D39" s="2" t="n"/>
    </row>
    <row r="40" ht="14.25" customHeight="1" s="46">
      <c r="A40" s="2" t="n"/>
      <c r="B40" s="2" t="n"/>
      <c r="C40" s="2" t="n"/>
      <c r="D40" s="2" t="n"/>
    </row>
    <row r="41" ht="14.25" customHeight="1" s="46">
      <c r="A41" s="2" t="n"/>
      <c r="B41" s="2" t="n"/>
      <c r="C41" s="2" t="n"/>
      <c r="D41" s="2" t="n"/>
    </row>
    <row r="42" ht="14.25" customHeight="1" s="46">
      <c r="A42" s="2" t="n"/>
      <c r="B42" s="2" t="n"/>
      <c r="C42" s="2" t="n"/>
      <c r="D42" s="2" t="n"/>
    </row>
    <row r="43" ht="14.25" customHeight="1" s="46">
      <c r="A43" s="2" t="n"/>
      <c r="B43" s="2" t="n"/>
      <c r="C43" s="2" t="n"/>
      <c r="D43" s="2" t="n"/>
    </row>
    <row r="44" ht="14.25" customHeight="1" s="46">
      <c r="A44" s="2" t="n"/>
      <c r="B44" s="2" t="n"/>
      <c r="C44" s="2" t="n"/>
      <c r="D44" s="2" t="n"/>
    </row>
    <row r="45" ht="14.25" customHeight="1" s="46">
      <c r="A45" s="2" t="n"/>
      <c r="B45" s="2" t="n"/>
      <c r="C45" s="2" t="n"/>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220"/>
  <sheetViews>
    <sheetView workbookViewId="0">
      <selection activeCell="A1" sqref="A1"/>
    </sheetView>
  </sheetViews>
  <sheetFormatPr baseColWidth="8" defaultColWidth="14.43" defaultRowHeight="15" customHeight="1"/>
  <cols>
    <col width="4" customWidth="1" style="46" min="1" max="1"/>
    <col width="50" customWidth="1" style="46" min="2" max="2"/>
    <col width="62" customWidth="1" style="46" min="3" max="3"/>
    <col width="40" customWidth="1" style="46" min="4" max="4"/>
    <col width="8.57" customWidth="1" style="46" min="5" max="6"/>
  </cols>
  <sheetData>
    <row r="1" ht="17.25" customHeight="1" s="46">
      <c r="A1" s="1" t="inlineStr">
        <is>
          <t>Step 2, round 2: what your edits left open</t>
        </is>
      </c>
      <c r="B1" s="2" t="n"/>
      <c r="C1" s="2" t="n"/>
      <c r="D1" s="2" t="n"/>
    </row>
    <row r="2" ht="15" customHeight="1" s="46">
      <c r="A2" s="3" t="inlineStr">
        <is>
          <t>My reading first; correct it in the yellow column.</t>
        </is>
      </c>
      <c r="B2" s="2" t="n"/>
      <c r="C2" s="2" t="n"/>
      <c r="D2" s="2" t="n"/>
    </row>
    <row r="3" ht="14.25" customHeight="1" s="46">
      <c r="A3" s="2" t="n"/>
      <c r="B3" s="2" t="n"/>
      <c r="C3" s="2" t="n"/>
      <c r="D3" s="2" t="n"/>
    </row>
    <row r="4" ht="15" customHeight="1" s="46">
      <c r="A4" s="6" t="inlineStr">
        <is>
          <t>#</t>
        </is>
      </c>
      <c r="B4" s="6" t="inlineStr">
        <is>
          <t>Question</t>
        </is>
      </c>
      <c r="C4" s="6" t="inlineStr">
        <is>
          <t>My reading / recommendation</t>
        </is>
      </c>
      <c r="D4" s="6" t="inlineStr">
        <is>
          <t>Your answer</t>
        </is>
      </c>
    </row>
    <row r="5" ht="60" customHeight="1" s="46">
      <c r="A5" s="7" t="n">
        <v>1</v>
      </c>
      <c r="B5" s="7" t="inlineStr">
        <is>
          <t>Scale everything by four (G19), not only construction?</t>
        </is>
      </c>
      <c r="C5" s="7" t="inlineStr">
        <is>
          <t>Yes. Dividing only the costs makes building four times cheaper next to what the town makes and earns; doing everything keeps the proportions and the smaller numbers.</t>
        </is>
      </c>
      <c r="D5" s="45" t="inlineStr">
        <is>
          <t>Just reduce production speed of most goods. Food production remain untouched/wating for step 8</t>
        </is>
      </c>
    </row>
    <row r="6" ht="45" customHeight="1" s="46">
      <c r="A6" s="7" t="n">
        <v>2</v>
      </c>
      <c r="B6" s="7" t="inlineStr">
        <is>
          <t>Fine pottery: a Merchant's House need, or one of its luxuries? Your edits list it in both, and the goods sheet now calls it a luxury.</t>
        </is>
      </c>
      <c r="C6" s="7" t="inlineStr">
        <is>
          <t>A luxury only. The Merchant's House then needs clothes, boots and medicine, plus one luxury.</t>
        </is>
      </c>
      <c r="D6" s="45" t="inlineStr">
        <is>
          <t>agreed</t>
        </is>
      </c>
    </row>
    <row r="7" ht="45" customHeight="1" s="46">
      <c r="A7" s="7" t="n">
        <v>3</v>
      </c>
      <c r="B7" s="7" t="inlineStr">
        <is>
          <t>Books and mead are no longer luxuries (your goods edits). Glassware joins. Is the list now jewellery, fine clothes, glassware, wine and fine pottery?</t>
        </is>
      </c>
      <c r="C7" s="7" t="inlineStr">
        <is>
          <t>Yes. Books go to the monastery, university and scriptorium; mead stays a tavern drink.</t>
        </is>
      </c>
      <c r="D7" s="45" t="inlineStr">
        <is>
          <t>yes</t>
        </is>
      </c>
    </row>
    <row r="8" ht="30" customHeight="1" s="46">
      <c r="A8" s="7" t="n">
        <v>4</v>
      </c>
      <c r="B8" s="7" t="inlineStr">
        <is>
          <t>Garments: clothes or boots meets the Townhouse; the Merchant's House needs both.</t>
        </is>
      </c>
      <c r="C8" s="7" t="inlineStr">
        <is>
          <t>Agreed: I mark the clothes line as the Townhouse essential (cheaper) and boots as the Merchant's.</t>
        </is>
      </c>
      <c r="D8" s="45" t="inlineStr">
        <is>
          <t>Ok</t>
        </is>
      </c>
    </row>
    <row r="9" ht="30" customHeight="1" s="46">
      <c r="A9" s="7" t="n">
        <v>5</v>
      </c>
      <c r="B9" s="7" t="inlineStr">
        <is>
          <t>The Bathhouse is City-gated, but the Merchant's House (Borough) needs it.</t>
        </is>
      </c>
      <c r="C9" s="7" t="inlineStr">
        <is>
          <t>Move it to the Patrician House's needs, or open it at Borough. I'd open it at Borough.</t>
        </is>
      </c>
      <c r="D9" s="45" t="inlineStr">
        <is>
          <t>Open at borough</t>
        </is>
      </c>
    </row>
    <row r="10" ht="45" customHeight="1" s="46">
      <c r="A10" s="7" t="n">
        <v>6</v>
      </c>
      <c r="B10" s="7" t="inlineStr">
        <is>
          <t>The Builder's Yard is "linked to draught stables": it needs a draught stable built (an exception to G7, like the Cooper)?</t>
        </is>
      </c>
      <c r="C10" s="7" t="inlineStr">
        <is>
          <t>Yes, as a condition: it is useless without an ox.</t>
        </is>
      </c>
      <c r="D10" s="45" t="inlineStr">
        <is>
          <t>Yes</t>
        </is>
      </c>
    </row>
    <row r="11" ht="45" customHeight="1" s="46">
      <c r="A11" s="7" t="n">
        <v>7</v>
      </c>
      <c r="B11" s="7" t="inlineStr">
        <is>
          <t>Market and Alehouse serve homes by workers (your notes); the market's workers by space, one per stall per 2 squares.</t>
        </is>
      </c>
      <c r="C11" s="7" t="inlineStr">
        <is>
          <t>Yes (G20). An alehouse tapster serves about eight homes.</t>
        </is>
      </c>
      <c r="D11" s="45" t="inlineStr">
        <is>
          <t>yes, may have to change, since I don't want residents scaling so much with house level, thus the city will have more houses</t>
        </is>
      </c>
    </row>
    <row r="12" ht="45" customHeight="1" s="46">
      <c r="A12" s="7" t="n">
        <v>8</v>
      </c>
      <c r="B12" s="7" t="inlineStr">
        <is>
          <t>The Courthouse: past Borough, unhappiness grows faster than the population unless homes are covered by policing.</t>
        </is>
      </c>
      <c r="C12" s="7" t="inlineStr">
        <is>
          <t>A happiness penalty growing with population above 90, removed for homes a courthouse covers (by its crew). Numbers in step 8.</t>
        </is>
      </c>
      <c r="D12" s="45" t="inlineStr">
        <is>
          <t>Ok</t>
        </is>
      </c>
    </row>
    <row r="13" ht="30" customHeight="1" s="46">
      <c r="A13" s="7" t="n">
        <v>9</v>
      </c>
      <c r="B13" s="7" t="inlineStr">
        <is>
          <t>One church per town (the wooden church and its rebuilds).</t>
        </is>
      </c>
      <c r="C13" s="7" t="inlineStr">
        <is>
          <t>Yes; the cathedral stays separate and also serves as a church.</t>
        </is>
      </c>
      <c r="D13" s="45" t="inlineStr">
        <is>
          <t>Yes</t>
        </is>
      </c>
    </row>
    <row r="14" ht="30" customHeight="1" s="46">
      <c r="A14" s="7" t="n">
        <v>10</v>
      </c>
      <c r="B14" s="7" t="inlineStr">
        <is>
          <t>The Armoury becomes a manor building for prestige and looks; arms go.</t>
        </is>
      </c>
      <c r="C14" s="7" t="inlineStr">
        <is>
          <t>Noted for step 5. The retinue then needs another cost (coins and prestige).</t>
        </is>
      </c>
      <c r="D14" s="45" t="inlineStr">
        <is>
          <t>Ok</t>
        </is>
      </c>
    </row>
    <row r="15" ht="15" customHeight="1" s="46">
      <c r="A15" s="7" t="n">
        <v>11</v>
      </c>
      <c r="B15" s="7" t="inlineStr">
        <is>
          <t>Potter: clay + fuel + dye.</t>
        </is>
      </c>
      <c r="C15" s="7" t="inlineStr">
        <is>
          <t>Yes: glazes coloured with dye; gives dyes a third use.</t>
        </is>
      </c>
      <c r="D15" s="45" t="inlineStr">
        <is>
          <t>Yes</t>
        </is>
      </c>
    </row>
    <row r="16" ht="14.25" customHeight="1" s="46">
      <c r="A16" s="2" t="n"/>
      <c r="B16" s="2" t="n"/>
      <c r="C16" s="2" t="n"/>
      <c r="D16" s="2" t="n"/>
    </row>
    <row r="17" ht="14.25" customHeight="1" s="46">
      <c r="A17" s="2" t="n"/>
      <c r="B17" s="2" t="n"/>
      <c r="C17" s="2" t="n"/>
      <c r="D17" s="2" t="n"/>
    </row>
    <row r="18" ht="14.25" customHeight="1" s="46">
      <c r="A18" s="2" t="n"/>
      <c r="B18" s="2" t="n"/>
      <c r="C18" s="2" t="n"/>
      <c r="D18" s="2" t="n"/>
    </row>
    <row r="19" ht="14.25" customHeight="1" s="46">
      <c r="A19" s="2" t="n"/>
      <c r="B19" s="2" t="n"/>
      <c r="C19" s="2" t="n"/>
      <c r="D19" s="2" t="n"/>
    </row>
    <row r="20" ht="14.25" customHeight="1" s="46">
      <c r="A20" s="2" t="n"/>
      <c r="B20" s="2" t="n"/>
      <c r="C20" s="2" t="n"/>
      <c r="D20" s="2" t="n"/>
    </row>
    <row r="21" ht="14.25" customHeight="1" s="46">
      <c r="A21" s="2" t="n"/>
      <c r="B21" s="2" t="n"/>
      <c r="C21" s="2" t="n"/>
      <c r="D21" s="2" t="n"/>
    </row>
    <row r="22" ht="14.25" customHeight="1" s="46">
      <c r="A22" s="2" t="n"/>
      <c r="B22" s="2" t="n"/>
      <c r="C22" s="2" t="n"/>
      <c r="D22" s="2" t="n"/>
    </row>
    <row r="23" ht="14.25" customHeight="1" s="46">
      <c r="A23" s="2" t="n"/>
      <c r="B23" s="2" t="n"/>
      <c r="C23" s="2" t="n"/>
      <c r="D23" s="2" t="n"/>
    </row>
    <row r="24" ht="14.25" customHeight="1" s="46">
      <c r="A24" s="2" t="n"/>
      <c r="B24" s="2" t="n"/>
      <c r="C24" s="2" t="n"/>
      <c r="D24" s="2" t="n"/>
    </row>
    <row r="25" ht="14.25" customHeight="1" s="46">
      <c r="A25" s="2" t="n"/>
      <c r="B25" s="2" t="n"/>
      <c r="C25" s="2" t="n"/>
      <c r="D25" s="2" t="n"/>
    </row>
    <row r="26" ht="14.25" customHeight="1" s="46">
      <c r="A26" s="2" t="n"/>
      <c r="B26" s="2" t="n"/>
      <c r="C26" s="2" t="n"/>
      <c r="D26" s="2" t="n"/>
    </row>
    <row r="27" ht="14.25" customHeight="1" s="46">
      <c r="A27" s="2" t="n"/>
      <c r="B27" s="2" t="n"/>
      <c r="C27" s="2" t="n"/>
      <c r="D27" s="2" t="n"/>
    </row>
    <row r="28" ht="14.25" customHeight="1" s="46">
      <c r="A28" s="2" t="n"/>
      <c r="B28" s="2" t="n"/>
      <c r="C28" s="2" t="n"/>
      <c r="D28" s="2" t="n"/>
    </row>
    <row r="29" ht="14.25" customHeight="1" s="46">
      <c r="A29" s="2" t="n"/>
      <c r="B29" s="2" t="n"/>
      <c r="C29" s="2" t="n"/>
      <c r="D29" s="2" t="n"/>
    </row>
    <row r="30" ht="14.25" customHeight="1" s="46">
      <c r="A30" s="2" t="n"/>
      <c r="B30" s="2" t="n"/>
      <c r="C30" s="2" t="n"/>
      <c r="D30" s="2" t="n"/>
    </row>
    <row r="31" ht="14.25" customHeight="1" s="46">
      <c r="A31" s="2" t="n"/>
      <c r="B31" s="2" t="n"/>
      <c r="C31" s="2" t="n"/>
      <c r="D31" s="2" t="n"/>
    </row>
    <row r="32" ht="14.25" customHeight="1" s="46">
      <c r="A32" s="2" t="n"/>
      <c r="B32" s="2" t="n"/>
      <c r="C32" s="2" t="n"/>
      <c r="D32" s="2" t="n"/>
    </row>
    <row r="33" ht="14.25" customHeight="1" s="46">
      <c r="A33" s="2" t="n"/>
      <c r="B33" s="2" t="n"/>
      <c r="C33" s="2" t="n"/>
      <c r="D33" s="2" t="n"/>
    </row>
    <row r="34" ht="14.25" customHeight="1" s="46">
      <c r="A34" s="2" t="n"/>
      <c r="B34" s="2" t="n"/>
      <c r="C34" s="2" t="n"/>
      <c r="D34" s="2" t="n"/>
    </row>
    <row r="35" ht="14.25" customHeight="1" s="46">
      <c r="A35" s="2" t="n"/>
      <c r="B35" s="2" t="n"/>
      <c r="C35" s="2" t="n"/>
      <c r="D35" s="2" t="n"/>
    </row>
    <row r="36" ht="14.25" customHeight="1" s="46">
      <c r="A36" s="2" t="n"/>
      <c r="B36" s="2" t="n"/>
      <c r="C36" s="2" t="n"/>
      <c r="D36" s="2" t="n"/>
    </row>
    <row r="37" ht="14.25" customHeight="1" s="46">
      <c r="A37" s="2" t="n"/>
      <c r="B37" s="2" t="n"/>
      <c r="C37" s="2" t="n"/>
      <c r="D37" s="2" t="n"/>
    </row>
    <row r="38" ht="14.25" customHeight="1" s="46">
      <c r="A38" s="2" t="n"/>
      <c r="B38" s="2" t="n"/>
      <c r="C38" s="2" t="n"/>
      <c r="D38" s="2" t="n"/>
    </row>
    <row r="39" ht="14.25" customHeight="1" s="46">
      <c r="A39" s="2" t="n"/>
      <c r="B39" s="2" t="n"/>
      <c r="C39" s="2" t="n"/>
      <c r="D39" s="2" t="n"/>
    </row>
    <row r="40" ht="14.25" customHeight="1" s="46">
      <c r="A40" s="2" t="n"/>
      <c r="B40" s="2" t="n"/>
      <c r="C40" s="2" t="n"/>
      <c r="D40" s="2" t="n"/>
    </row>
    <row r="41" ht="14.25" customHeight="1" s="46">
      <c r="A41" s="2" t="n"/>
      <c r="B41" s="2" t="n"/>
      <c r="C41" s="2" t="n"/>
      <c r="D41" s="2" t="n"/>
    </row>
    <row r="42" ht="14.25" customHeight="1" s="46">
      <c r="A42" s="2" t="n"/>
      <c r="B42" s="2" t="n"/>
      <c r="C42" s="2" t="n"/>
      <c r="D42" s="2" t="n"/>
    </row>
    <row r="43" ht="14.25" customHeight="1" s="46">
      <c r="A43" s="2" t="n"/>
      <c r="B43" s="2" t="n"/>
      <c r="C43" s="2" t="n"/>
      <c r="D43" s="2" t="n"/>
    </row>
    <row r="44" ht="14.25" customHeight="1" s="46">
      <c r="A44" s="2" t="n"/>
      <c r="B44" s="2" t="n"/>
      <c r="C44" s="2" t="n"/>
      <c r="D44" s="2" t="n"/>
    </row>
    <row r="45" ht="14.25" customHeight="1" s="46">
      <c r="A45" s="2" t="n"/>
      <c r="B45" s="2" t="n"/>
      <c r="C45" s="2" t="n"/>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0.xml><?xml version="1.0" encoding="utf-8"?>
<worksheet xmlns="http://schemas.openxmlformats.org/spreadsheetml/2006/main">
  <sheetPr>
    <outlinePr summaryBelow="1" summaryRight="1"/>
    <pageSetUpPr/>
  </sheetPr>
  <dimension ref="A1:D22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0" customWidth="1" style="46" min="2" max="2"/>
    <col width="62" customWidth="1" style="46" min="3" max="3"/>
    <col width="40" customWidth="1" style="46" min="4" max="4"/>
    <col width="8.57" customWidth="1" style="46" min="5" max="6"/>
  </cols>
  <sheetData>
    <row r="1" ht="17.25" customHeight="1" s="46">
      <c r="A1" s="1" t="inlineStr">
        <is>
          <t>Step 3: decisions</t>
        </is>
      </c>
      <c r="B1" s="2" t="n"/>
      <c r="C1" s="2" t="n"/>
      <c r="D1" s="2" t="n"/>
    </row>
    <row r="2" ht="15" customHeight="1" s="46">
      <c r="A2" s="3" t="inlineStr">
        <is>
          <t>My recommendation first; yours in the yellow column.</t>
        </is>
      </c>
      <c r="B2" s="2" t="n"/>
      <c r="C2" s="2" t="n"/>
      <c r="D2" s="2" t="n"/>
    </row>
    <row r="3" ht="14.25" customHeight="1" s="46">
      <c r="A3" s="2" t="n"/>
      <c r="B3" s="2" t="n"/>
      <c r="C3" s="2" t="n"/>
      <c r="D3" s="2" t="n"/>
    </row>
    <row r="4" ht="15" customHeight="1" s="46">
      <c r="A4" s="9" t="inlineStr">
        <is>
          <t>#</t>
        </is>
      </c>
      <c r="B4" s="9" t="inlineStr">
        <is>
          <t>Question</t>
        </is>
      </c>
      <c r="C4" s="9" t="inlineStr">
        <is>
          <t>My recommendation</t>
        </is>
      </c>
      <c r="D4" s="9" t="inlineStr">
        <is>
          <t>Your answer</t>
        </is>
      </c>
    </row>
    <row r="5" ht="42" customHeight="1" s="46">
      <c r="A5" s="7" t="n">
        <v>1</v>
      </c>
      <c r="B5" s="7" t="inlineStr">
        <is>
          <t>Fine clothes from an Embroiderer, stained glass from a Glazier: two new buildings.</t>
        </is>
      </c>
      <c r="C5" s="7" t="inlineStr">
        <is>
          <t>Yes: each is the end of a line, and both take dyes, which gives the dye line its weight.</t>
        </is>
      </c>
      <c r="D5" s="45" t="inlineStr">
        <is>
          <t>Agreed</t>
        </is>
      </c>
    </row>
    <row r="6" ht="42" customHeight="1" s="46">
      <c r="A6" s="7" t="n">
        <v>2</v>
      </c>
      <c r="B6" s="7" t="inlineStr">
        <is>
          <t>Parchment: a tanner recipe (hides) that feeds offices and books like paper does.</t>
        </is>
      </c>
      <c r="C6" s="7" t="inlineStr">
        <is>
          <t>Yes: the option you wanted for administrative buildings, without a new building; hides get a second use.</t>
        </is>
      </c>
      <c r="D6" s="45" t="inlineStr">
        <is>
          <t>Agreed</t>
        </is>
      </c>
    </row>
    <row r="7" ht="42" customHeight="1" s="46">
      <c r="A7" s="7" t="n">
        <v>3</v>
      </c>
      <c r="B7" s="7" t="inlineStr">
        <is>
          <t>Mead opens to every town (honey from the beekeeper); the Meadmakers charter doubles honey and mead instead.</t>
        </is>
      </c>
      <c r="C7" s="7" t="inlineStr">
        <is>
          <t>Yes: the beekeeper otherwise only makes food.</t>
        </is>
      </c>
      <c r="D7" s="45" t="inlineStr">
        <is>
          <t>Agreed</t>
        </is>
      </c>
    </row>
    <row r="8" ht="42" customHeight="1" s="46">
      <c r="A8" s="7" t="n">
        <v>4</v>
      </c>
      <c r="B8" s="7" t="inlineStr">
        <is>
          <t>Clothes and boots: the courthouse watch wears them (its running cost), a second use for both.</t>
        </is>
      </c>
      <c r="C8" s="7" t="inlineStr">
        <is>
          <t>Yes: it also makes policing cost something real.</t>
        </is>
      </c>
      <c r="D8" s="45" t="inlineStr">
        <is>
          <t>Agreed</t>
        </is>
      </c>
    </row>
    <row r="9" ht="27.75" customHeight="1" s="46">
      <c r="A9" s="7" t="n">
        <v>5</v>
      </c>
      <c r="B9" s="7" t="inlineStr">
        <is>
          <t>Medicine: sickness events can be stopped by spending medicine.</t>
        </is>
      </c>
      <c r="C9" s="7" t="inlineStr">
        <is>
          <t>Yes: there is already a sickness event; it becomes the second use.</t>
        </is>
      </c>
      <c r="D9" s="45" t="inlineStr">
        <is>
          <t>Ok, but let's watch it closely</t>
        </is>
      </c>
    </row>
    <row r="10" ht="27.75" customHeight="1" s="46">
      <c r="A10" s="7" t="n">
        <v>6</v>
      </c>
      <c r="B10" s="7" t="inlineStr">
        <is>
          <t>The jeweller sets silver with glass.</t>
        </is>
      </c>
      <c r="C10" s="7" t="inlineStr">
        <is>
          <t>Yes: glass becomes a jeweller's input and silver keeps its one use.</t>
        </is>
      </c>
      <c r="D10" s="45" t="inlineStr">
        <is>
          <t>Agreed</t>
        </is>
      </c>
    </row>
    <row r="11" ht="27.75" customHeight="1" s="46">
      <c r="A11" s="7" t="n">
        <v>7</v>
      </c>
      <c r="B11" s="7" t="inlineStr">
        <is>
          <t>Silver stays bought or from the Deep Veins charter: no silver mine.</t>
        </is>
      </c>
      <c r="C11" s="7" t="inlineStr">
        <is>
          <t>Yes for now: one less raw line (G17). A silver vein could be a later map feature.</t>
        </is>
      </c>
      <c r="D11" s="45" t="inlineStr">
        <is>
          <t>Agreed, jeweller inevitably comes after jeweler anyway</t>
        </is>
      </c>
    </row>
    <row r="12" ht="42" customHeight="1" s="46">
      <c r="A12" s="7" t="n">
        <v>8</v>
      </c>
      <c r="B12" s="7" t="inlineStr">
        <is>
          <t>Books stay a charter craft (scriptorium) or bought; monasteries and the university read them.</t>
        </is>
      </c>
      <c r="C12" s="7" t="inlineStr">
        <is>
          <t>Yes, as you said. A monastery could copy its own books as an extension (step 4).</t>
        </is>
      </c>
      <c r="D12" s="45" t="inlineStr">
        <is>
          <t>Agreed, but monasteries will only consume</t>
        </is>
      </c>
    </row>
    <row r="13" ht="27.75" customHeight="1" s="46">
      <c r="A13" s="7" t="n">
        <v>9</v>
      </c>
      <c r="B13" s="7" t="inlineStr">
        <is>
          <t>Fine pottery and jewellery have one use (luxury), which G14 allows with export.</t>
        </is>
      </c>
      <c r="C13" s="7" t="inlineStr">
        <is>
          <t>Keep: luxuries are their own reward.</t>
        </is>
      </c>
      <c r="D13" s="45" t="inlineStr">
        <is>
          <t>Agreed</t>
        </is>
      </c>
    </row>
    <row r="14" ht="14.25" customHeight="1" s="46">
      <c r="A14" s="2" t="n"/>
      <c r="B14" s="2" t="n"/>
      <c r="C14" s="2" t="n"/>
      <c r="D14" s="2" t="n"/>
    </row>
    <row r="15" ht="14.25" customHeight="1" s="46">
      <c r="A15" s="2" t="n"/>
      <c r="B15" s="2" t="n"/>
      <c r="C15" s="2" t="n"/>
      <c r="D15" s="2" t="n"/>
    </row>
    <row r="16" ht="14.25" customHeight="1" s="46">
      <c r="A16" s="2" t="n"/>
      <c r="B16" s="2" t="n"/>
      <c r="C16" s="2" t="n"/>
      <c r="D16" s="2" t="n"/>
    </row>
    <row r="17" ht="14.25" customHeight="1" s="46">
      <c r="A17" s="2" t="n"/>
      <c r="B17" s="2" t="n"/>
      <c r="C17" s="2" t="n"/>
      <c r="D17" s="2" t="n"/>
    </row>
    <row r="18" ht="14.25" customHeight="1" s="46">
      <c r="A18" s="2" t="n"/>
      <c r="B18" s="2" t="n"/>
      <c r="C18" s="2" t="n"/>
      <c r="D18" s="2" t="n"/>
    </row>
    <row r="19" ht="14.25" customHeight="1" s="46">
      <c r="A19" s="2" t="n"/>
      <c r="B19" s="2" t="n"/>
      <c r="C19" s="2" t="n"/>
      <c r="D19" s="2" t="n"/>
    </row>
    <row r="20" ht="14.25" customHeight="1" s="46">
      <c r="A20" s="2" t="n"/>
      <c r="B20" s="2" t="n"/>
      <c r="C20" s="2" t="n"/>
      <c r="D20" s="2" t="n"/>
    </row>
    <row r="21" ht="14.25" customHeight="1" s="46">
      <c r="A21" s="2" t="n"/>
      <c r="B21" s="2" t="n"/>
      <c r="C21" s="2" t="n"/>
      <c r="D21" s="2" t="n"/>
    </row>
    <row r="22" ht="14.25" customHeight="1" s="46">
      <c r="A22" s="2" t="n"/>
      <c r="B22" s="2" t="n"/>
      <c r="C22" s="2" t="n"/>
      <c r="D22" s="2" t="n"/>
    </row>
    <row r="23" ht="14.25" customHeight="1" s="46">
      <c r="A23" s="2" t="n"/>
      <c r="B23" s="2" t="n"/>
      <c r="C23" s="2" t="n"/>
      <c r="D23" s="2" t="n"/>
    </row>
    <row r="24" ht="14.25" customHeight="1" s="46">
      <c r="A24" s="2" t="n"/>
      <c r="B24" s="2" t="n"/>
      <c r="C24" s="2" t="n"/>
      <c r="D24" s="2" t="n"/>
    </row>
    <row r="25" ht="14.25" customHeight="1" s="46">
      <c r="A25" s="2" t="n"/>
      <c r="B25" s="2" t="n"/>
      <c r="C25" s="2" t="n"/>
      <c r="D25" s="2" t="n"/>
    </row>
    <row r="26" ht="14.25" customHeight="1" s="46">
      <c r="A26" s="2" t="n"/>
      <c r="B26" s="2" t="n"/>
      <c r="C26" s="2" t="n"/>
      <c r="D26" s="2" t="n"/>
    </row>
    <row r="27" ht="14.25" customHeight="1" s="46">
      <c r="A27" s="2" t="n"/>
      <c r="B27" s="2" t="n"/>
      <c r="C27" s="2" t="n"/>
      <c r="D27" s="2" t="n"/>
    </row>
    <row r="28" ht="14.25" customHeight="1" s="46">
      <c r="A28" s="2" t="n"/>
      <c r="B28" s="2" t="n"/>
      <c r="C28" s="2" t="n"/>
      <c r="D28" s="2" t="n"/>
    </row>
    <row r="29" ht="14.25" customHeight="1" s="46">
      <c r="A29" s="2" t="n"/>
      <c r="B29" s="2" t="n"/>
      <c r="C29" s="2" t="n"/>
      <c r="D29" s="2" t="n"/>
    </row>
    <row r="30" ht="14.25" customHeight="1" s="46">
      <c r="A30" s="2" t="n"/>
      <c r="B30" s="2" t="n"/>
      <c r="C30" s="2" t="n"/>
      <c r="D30" s="2" t="n"/>
    </row>
    <row r="31" ht="14.25" customHeight="1" s="46">
      <c r="A31" s="2" t="n"/>
      <c r="B31" s="2" t="n"/>
      <c r="C31" s="2" t="n"/>
      <c r="D31" s="2" t="n"/>
    </row>
    <row r="32" ht="14.25" customHeight="1" s="46">
      <c r="A32" s="2" t="n"/>
      <c r="B32" s="2" t="n"/>
      <c r="C32" s="2" t="n"/>
      <c r="D32" s="2" t="n"/>
    </row>
    <row r="33" ht="14.25" customHeight="1" s="46">
      <c r="A33" s="2" t="n"/>
      <c r="B33" s="2" t="n"/>
      <c r="C33" s="2" t="n"/>
      <c r="D33" s="2" t="n"/>
    </row>
    <row r="34" ht="14.25" customHeight="1" s="46">
      <c r="A34" s="2" t="n"/>
      <c r="B34" s="2" t="n"/>
      <c r="C34" s="2" t="n"/>
      <c r="D34" s="2" t="n"/>
    </row>
    <row r="35" ht="14.25" customHeight="1" s="46">
      <c r="A35" s="2" t="n"/>
      <c r="B35" s="2" t="n"/>
      <c r="C35" s="2" t="n"/>
      <c r="D35" s="2" t="n"/>
    </row>
    <row r="36" ht="14.25" customHeight="1" s="46">
      <c r="A36" s="2" t="n"/>
      <c r="B36" s="2" t="n"/>
      <c r="C36" s="2" t="n"/>
      <c r="D36" s="2" t="n"/>
    </row>
    <row r="37" ht="14.25" customHeight="1" s="46">
      <c r="A37" s="2" t="n"/>
      <c r="B37" s="2" t="n"/>
      <c r="C37" s="2" t="n"/>
      <c r="D37" s="2" t="n"/>
    </row>
    <row r="38" ht="14.25" customHeight="1" s="46">
      <c r="A38" s="2" t="n"/>
      <c r="B38" s="2" t="n"/>
      <c r="C38" s="2" t="n"/>
      <c r="D38" s="2" t="n"/>
    </row>
    <row r="39" ht="14.25" customHeight="1" s="46">
      <c r="A39" s="2" t="n"/>
      <c r="B39" s="2" t="n"/>
      <c r="C39" s="2" t="n"/>
      <c r="D39" s="2" t="n"/>
    </row>
    <row r="40" ht="14.25" customHeight="1" s="46">
      <c r="A40" s="2" t="n"/>
      <c r="B40" s="2" t="n"/>
      <c r="C40" s="2" t="n"/>
      <c r="D40" s="2" t="n"/>
    </row>
    <row r="41" ht="14.25" customHeight="1" s="46">
      <c r="A41" s="2" t="n"/>
      <c r="B41" s="2" t="n"/>
      <c r="C41" s="2" t="n"/>
      <c r="D41" s="2" t="n"/>
    </row>
    <row r="42" ht="14.25" customHeight="1" s="46">
      <c r="A42" s="2" t="n"/>
      <c r="B42" s="2" t="n"/>
      <c r="C42" s="2" t="n"/>
      <c r="D42" s="2" t="n"/>
    </row>
    <row r="43" ht="14.25" customHeight="1" s="46">
      <c r="A43" s="2" t="n"/>
      <c r="B43" s="2" t="n"/>
      <c r="C43" s="2" t="n"/>
      <c r="D43" s="2" t="n"/>
    </row>
    <row r="44" ht="14.25" customHeight="1" s="46">
      <c r="A44" s="2" t="n"/>
      <c r="B44" s="2" t="n"/>
      <c r="C44" s="2" t="n"/>
      <c r="D44" s="2" t="n"/>
    </row>
    <row r="45" ht="14.25" customHeight="1" s="46">
      <c r="A45" s="2" t="n"/>
      <c r="B45" s="2" t="n"/>
      <c r="C45" s="2" t="n"/>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1.xml><?xml version="1.0" encoding="utf-8"?>
<worksheet xmlns="http://schemas.openxmlformats.org/spreadsheetml/2006/main">
  <sheetPr>
    <outlinePr summaryBelow="1" summaryRight="1"/>
    <pageSetUpPr/>
  </sheetPr>
  <dimension ref="A1:D22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0" customWidth="1" style="46" min="2" max="2"/>
    <col width="62" customWidth="1" style="46" min="3" max="3"/>
    <col width="40" customWidth="1" style="46" min="4" max="4"/>
    <col width="8.57" customWidth="1" style="46" min="5" max="6"/>
  </cols>
  <sheetData>
    <row r="1" ht="18" customHeight="1" s="46">
      <c r="A1" s="1" t="inlineStr">
        <is>
          <t>Step 4: decisions</t>
        </is>
      </c>
      <c r="B1" s="2" t="n"/>
      <c r="C1" s="2" t="n"/>
      <c r="D1" s="2" t="n"/>
    </row>
    <row r="2" ht="14.25" customHeight="1" s="46">
      <c r="A2" s="3" t="inlineStr">
        <is>
          <t>My recommendation first; yours in the yellow column.</t>
        </is>
      </c>
      <c r="B2" s="2" t="n"/>
      <c r="C2" s="2" t="n"/>
      <c r="D2" s="2" t="n"/>
    </row>
    <row r="3" ht="14.25" customHeight="1" s="46">
      <c r="A3" s="2" t="n"/>
      <c r="B3" s="2" t="n"/>
      <c r="C3" s="2" t="n"/>
      <c r="D3" s="2" t="n"/>
    </row>
    <row r="4" ht="14.25" customHeight="1" s="46">
      <c r="A4" s="9" t="inlineStr">
        <is>
          <t>#</t>
        </is>
      </c>
      <c r="B4" s="9" t="inlineStr">
        <is>
          <t>Question</t>
        </is>
      </c>
      <c r="C4" s="9" t="inlineStr">
        <is>
          <t>My recommendation</t>
        </is>
      </c>
      <c r="D4" s="9" t="inlineStr">
        <is>
          <t>Your answer</t>
        </is>
      </c>
    </row>
    <row r="5" ht="27.75" customHeight="1" s="46">
      <c r="A5" s="7" t="n">
        <v>1</v>
      </c>
      <c r="B5" s="7" t="inlineStr">
        <is>
          <t>One extension per workplace, or more as the town grows?</t>
        </is>
      </c>
      <c r="C5" s="7" t="inlineStr">
        <is>
          <t>One. It keeps each workplace a clear decision and the art readable.</t>
        </is>
      </c>
      <c r="D5" s="45" t="inlineStr">
        <is>
          <t>Answered</t>
        </is>
      </c>
    </row>
    <row r="6" ht="27.75" customHeight="1" s="46">
      <c r="A6" s="7" t="n">
        <v>2</v>
      </c>
      <c r="B6" s="7" t="inlineStr">
        <is>
          <t>Upgrades: one per kind of workplace?</t>
        </is>
      </c>
      <c r="C6" s="7" t="inlineStr">
        <is>
          <t>Yes. More levels would turn back into flat bonuses.</t>
        </is>
      </c>
      <c r="D6" s="45" t="inlineStr">
        <is>
          <t>For now it is one, but we may add a longer chain</t>
        </is>
      </c>
    </row>
    <row r="7" ht="42" customHeight="1" s="46">
      <c r="A7" s="7" t="n">
        <v>3</v>
      </c>
      <c r="B7" s="7" t="inlineStr">
        <is>
          <t>Choices are town-wide and final.</t>
        </is>
      </c>
      <c r="C7" s="7" t="inlineStr">
        <is>
          <t>Yes, final; it is what makes them choices. A charter could allow one change later (step 6).</t>
        </is>
      </c>
      <c r="D7" s="45" t="inlineStr">
        <is>
          <t>Yes</t>
        </is>
      </c>
    </row>
    <row r="8" ht="42" customHeight="1" s="46">
      <c r="A8" s="7" t="n">
        <v>4</v>
      </c>
      <c r="B8" s="7" t="inlineStr">
        <is>
          <t>Iron plough overlaps the Heavy Plough charter.</t>
        </is>
      </c>
      <c r="C8" s="7" t="inlineStr">
        <is>
          <t>Keep both: the charter then gives more (e.g. no tool upkeep on the plough). Decided in step 6.</t>
        </is>
      </c>
      <c r="D8" s="45" t="inlineStr">
        <is>
          <t>Yes</t>
        </is>
      </c>
    </row>
    <row r="9" ht="55.5" customHeight="1" s="46">
      <c r="A9" s="7" t="n">
        <v>5</v>
      </c>
      <c r="B9" s="7" t="inlineStr">
        <is>
          <t>Town options (limewash, dyed tunics, roofs, banners): worth the art?</t>
        </is>
      </c>
      <c r="C9" s="7" t="inlineStr">
        <is>
          <t>Yes, they are the cheapest way to make towns look different from one another, and each gives an existing good a running use.</t>
        </is>
      </c>
      <c r="D9" s="45" t="inlineStr">
        <is>
          <t>Cool</t>
        </is>
      </c>
    </row>
    <row r="10" ht="42" customHeight="1" s="46">
      <c r="A10" s="7" t="n">
        <v>6</v>
      </c>
      <c r="B10" s="7" t="inlineStr">
        <is>
          <t>Too many entries? 37 here.</t>
        </is>
      </c>
      <c r="C10" s="7" t="inlineStr">
        <is>
          <t>Build them in waves: one upgrade or extension per line first, choices and options after the playthrough.</t>
        </is>
      </c>
      <c r="D10" s="45" t="inlineStr">
        <is>
          <t>I added more :)</t>
        </is>
      </c>
    </row>
    <row r="11" ht="14.25" customHeight="1" s="46">
      <c r="A11" s="2" t="n"/>
      <c r="B11" s="2" t="n"/>
      <c r="C11" s="2" t="n"/>
      <c r="D11" s="2" t="n"/>
    </row>
    <row r="12" ht="14.25" customHeight="1" s="46">
      <c r="A12" s="2" t="n"/>
      <c r="B12" s="2" t="n"/>
      <c r="C12" s="2" t="n"/>
      <c r="D12" s="2" t="n"/>
    </row>
    <row r="13" ht="14.25" customHeight="1" s="46">
      <c r="A13" s="2" t="n"/>
      <c r="B13" s="2" t="n"/>
      <c r="C13" s="2" t="n"/>
      <c r="D13" s="2" t="n"/>
    </row>
    <row r="14" ht="14.25" customHeight="1" s="46">
      <c r="A14" s="2" t="n"/>
      <c r="B14" s="2" t="n"/>
      <c r="C14" s="2" t="n"/>
      <c r="D14" s="2" t="n"/>
    </row>
    <row r="15" ht="14.25" customHeight="1" s="46">
      <c r="A15" s="2" t="n"/>
      <c r="B15" s="2" t="n"/>
      <c r="C15" s="2" t="n"/>
      <c r="D15" s="2" t="n"/>
    </row>
    <row r="16" ht="14.25" customHeight="1" s="46">
      <c r="A16" s="2" t="n"/>
      <c r="B16" s="2" t="n"/>
      <c r="C16" s="2" t="n"/>
      <c r="D16" s="2" t="n"/>
    </row>
    <row r="17" ht="14.25" customHeight="1" s="46">
      <c r="A17" s="2" t="n"/>
      <c r="B17" s="2" t="n"/>
      <c r="C17" s="2" t="n"/>
      <c r="D17" s="2" t="n"/>
    </row>
    <row r="18" ht="14.25" customHeight="1" s="46">
      <c r="A18" s="2" t="n"/>
      <c r="B18" s="2" t="n"/>
      <c r="C18" s="2" t="n"/>
      <c r="D18" s="2" t="n"/>
    </row>
    <row r="19" ht="14.25" customHeight="1" s="46">
      <c r="A19" s="2" t="n"/>
      <c r="B19" s="2" t="n"/>
      <c r="C19" s="2" t="n"/>
      <c r="D19" s="2" t="n"/>
    </row>
    <row r="20" ht="14.25" customHeight="1" s="46">
      <c r="A20" s="2" t="n"/>
      <c r="B20" s="2" t="n"/>
      <c r="C20" s="2" t="n"/>
      <c r="D20" s="2" t="n"/>
    </row>
    <row r="21" ht="14.25" customHeight="1" s="46">
      <c r="A21" s="2" t="n"/>
      <c r="B21" s="2" t="n"/>
      <c r="C21" s="2" t="n"/>
      <c r="D21" s="2" t="n"/>
    </row>
    <row r="22" ht="14.25" customHeight="1" s="46">
      <c r="A22" s="2" t="n"/>
      <c r="B22" s="2" t="n"/>
      <c r="C22" s="2" t="n"/>
      <c r="D22" s="2" t="n"/>
    </row>
    <row r="23" ht="14.25" customHeight="1" s="46">
      <c r="A23" s="2" t="n"/>
      <c r="B23" s="2" t="n"/>
      <c r="C23" s="2" t="n"/>
      <c r="D23" s="2" t="n"/>
    </row>
    <row r="24" ht="14.25" customHeight="1" s="46">
      <c r="A24" s="2" t="n"/>
      <c r="B24" s="2" t="n"/>
      <c r="C24" s="2" t="n"/>
      <c r="D24" s="2" t="n"/>
    </row>
    <row r="25" ht="14.25" customHeight="1" s="46">
      <c r="A25" s="2" t="n"/>
      <c r="B25" s="2" t="n"/>
      <c r="C25" s="2" t="n"/>
      <c r="D25" s="2" t="n"/>
    </row>
    <row r="26" ht="14.25" customHeight="1" s="46">
      <c r="A26" s="2" t="n"/>
      <c r="B26" s="2" t="n"/>
      <c r="C26" s="2" t="n"/>
      <c r="D26" s="2" t="n"/>
    </row>
    <row r="27" ht="14.25" customHeight="1" s="46">
      <c r="A27" s="2" t="n"/>
      <c r="B27" s="2" t="n"/>
      <c r="C27" s="2" t="n"/>
      <c r="D27" s="2" t="n"/>
    </row>
    <row r="28" ht="14.25" customHeight="1" s="46">
      <c r="A28" s="2" t="n"/>
      <c r="B28" s="2" t="n"/>
      <c r="C28" s="2" t="n"/>
      <c r="D28" s="2" t="n"/>
    </row>
    <row r="29" ht="14.25" customHeight="1" s="46">
      <c r="A29" s="2" t="n"/>
      <c r="B29" s="2" t="n"/>
      <c r="C29" s="2" t="n"/>
      <c r="D29" s="2" t="n"/>
    </row>
    <row r="30" ht="14.25" customHeight="1" s="46">
      <c r="A30" s="2" t="n"/>
      <c r="B30" s="2" t="n"/>
      <c r="C30" s="2" t="n"/>
      <c r="D30" s="2" t="n"/>
    </row>
    <row r="31" ht="14.25" customHeight="1" s="46">
      <c r="A31" s="2" t="n"/>
      <c r="B31" s="2" t="n"/>
      <c r="C31" s="2" t="n"/>
      <c r="D31" s="2" t="n"/>
    </row>
    <row r="32" ht="14.25" customHeight="1" s="46">
      <c r="A32" s="2" t="n"/>
      <c r="B32" s="2" t="n"/>
      <c r="C32" s="2" t="n"/>
      <c r="D32" s="2" t="n"/>
    </row>
    <row r="33" ht="14.25" customHeight="1" s="46">
      <c r="A33" s="2" t="n"/>
      <c r="B33" s="2" t="n"/>
      <c r="C33" s="2" t="n"/>
      <c r="D33" s="2" t="n"/>
    </row>
    <row r="34" ht="14.25" customHeight="1" s="46">
      <c r="A34" s="2" t="n"/>
      <c r="B34" s="2" t="n"/>
      <c r="C34" s="2" t="n"/>
      <c r="D34" s="2" t="n"/>
    </row>
    <row r="35" ht="14.25" customHeight="1" s="46">
      <c r="A35" s="2" t="n"/>
      <c r="B35" s="2" t="n"/>
      <c r="C35" s="2" t="n"/>
      <c r="D35" s="2" t="n"/>
    </row>
    <row r="36" ht="14.25" customHeight="1" s="46">
      <c r="A36" s="2" t="n"/>
      <c r="B36" s="2" t="n"/>
      <c r="C36" s="2" t="n"/>
      <c r="D36" s="2" t="n"/>
    </row>
    <row r="37" ht="14.25" customHeight="1" s="46">
      <c r="A37" s="2" t="n"/>
      <c r="B37" s="2" t="n"/>
      <c r="C37" s="2" t="n"/>
      <c r="D37" s="2" t="n"/>
    </row>
    <row r="38" ht="14.25" customHeight="1" s="46">
      <c r="A38" s="2" t="n"/>
      <c r="B38" s="2" t="n"/>
      <c r="C38" s="2" t="n"/>
      <c r="D38" s="2" t="n"/>
    </row>
    <row r="39" ht="14.25" customHeight="1" s="46">
      <c r="A39" s="2" t="n"/>
      <c r="B39" s="2" t="n"/>
      <c r="C39" s="2" t="n"/>
      <c r="D39" s="2" t="n"/>
    </row>
    <row r="40" ht="14.25" customHeight="1" s="46">
      <c r="A40" s="2" t="n"/>
      <c r="B40" s="2" t="n"/>
      <c r="C40" s="2" t="n"/>
      <c r="D40" s="2" t="n"/>
    </row>
    <row r="41" ht="14.25" customHeight="1" s="46">
      <c r="A41" s="2" t="n"/>
      <c r="B41" s="2" t="n"/>
      <c r="C41" s="2" t="n"/>
      <c r="D41" s="2" t="n"/>
    </row>
    <row r="42" ht="14.25" customHeight="1" s="46">
      <c r="A42" s="2" t="n"/>
      <c r="B42" s="2" t="n"/>
      <c r="C42" s="2" t="n"/>
      <c r="D42" s="2" t="n"/>
    </row>
    <row r="43" ht="14.25" customHeight="1" s="46">
      <c r="A43" s="2" t="n"/>
      <c r="B43" s="2" t="n"/>
      <c r="C43" s="2" t="n"/>
      <c r="D43" s="2" t="n"/>
    </row>
    <row r="44" ht="14.25" customHeight="1" s="46">
      <c r="A44" s="2" t="n"/>
      <c r="B44" s="2" t="n"/>
      <c r="C44" s="2" t="n"/>
      <c r="D44" s="2" t="n"/>
    </row>
    <row r="45" ht="14.25" customHeight="1" s="46">
      <c r="A45" s="2" t="n"/>
      <c r="B45" s="2" t="n"/>
      <c r="C45" s="2" t="n"/>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2.xml><?xml version="1.0" encoding="utf-8"?>
<worksheet xmlns="http://schemas.openxmlformats.org/spreadsheetml/2006/main">
  <sheetPr>
    <outlinePr summaryBelow="1" summaryRight="1"/>
    <pageSetUpPr/>
  </sheetPr>
  <dimension ref="A1:M223"/>
  <sheetViews>
    <sheetView workbookViewId="0">
      <pane ySplit="4" topLeftCell="A5" activePane="bottomLeft" state="frozen"/>
      <selection pane="bottomLeft" activeCell="B6" sqref="B6"/>
    </sheetView>
  </sheetViews>
  <sheetFormatPr baseColWidth="8" defaultColWidth="14.43" defaultRowHeight="15" customHeight="1"/>
  <cols>
    <col width="20" customWidth="1" style="46" min="1" max="1"/>
    <col width="10" customWidth="1" style="46" min="2" max="2"/>
    <col width="44" customWidth="1" style="46" min="3" max="3"/>
    <col width="13" customWidth="1" style="46" min="4" max="4"/>
    <col width="9" customWidth="1" style="46" min="5" max="5"/>
    <col width="26" customWidth="1" style="46" min="6" max="6"/>
    <col width="8" customWidth="1" style="46" min="7" max="7"/>
    <col width="14" customWidth="1" style="46" min="8" max="8"/>
    <col width="16" customWidth="1" style="46" min="9" max="9"/>
    <col width="9" customWidth="1" style="46" min="10" max="10"/>
    <col width="34" customWidth="1" style="46" min="11" max="11"/>
    <col width="24" customWidth="1" style="46" min="12" max="12"/>
    <col width="36" customWidth="1" style="46" min="13" max="13"/>
  </cols>
  <sheetData>
    <row r="1" ht="17.25" customHeight="1" s="46">
      <c r="A1" s="1" t="inlineStr">
        <is>
          <t>Step 5: the manor and the lord's buildings</t>
        </is>
      </c>
      <c r="B1" s="2" t="n"/>
      <c r="C1" s="2" t="n"/>
      <c r="D1" s="2" t="n"/>
      <c r="E1" s="2" t="n"/>
      <c r="F1" s="2" t="n"/>
      <c r="G1" s="2" t="n"/>
      <c r="H1" s="2" t="n"/>
      <c r="I1" s="2" t="n"/>
      <c r="J1" s="2" t="n"/>
      <c r="K1" s="2" t="n"/>
      <c r="L1" s="2" t="n"/>
    </row>
    <row r="2" ht="15" customHeight="1" s="46">
      <c r="A2" s="3" t="inlineStr">
        <is>
          <t>Costs from 2 Costs where they exist; new ones on the same scale. Every manor building must touch the manor or a manor decoration that touches it (your note).</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ht="23.25" customHeight="1" s="46">
      <c r="A4" s="9" t="inlineStr">
        <is>
          <t>Building</t>
        </is>
      </c>
      <c r="B4" s="9" t="inlineStr">
        <is>
          <t>Kind</t>
        </is>
      </c>
      <c r="C4" s="9" t="inlineStr">
        <is>
          <t>What it does</t>
        </is>
      </c>
      <c r="D4" s="9" t="inlineStr">
        <is>
          <t>Gate</t>
        </is>
      </c>
      <c r="E4" s="9" t="inlineStr">
        <is>
          <t>Knowledge</t>
        </is>
      </c>
      <c r="F4" s="9" t="inlineStr">
        <is>
          <t>Cost</t>
        </is>
      </c>
      <c r="G4" s="9" t="inlineStr">
        <is>
          <t>Workers</t>
        </is>
      </c>
      <c r="H4" s="9" t="inlineStr">
        <is>
          <t>Runs on</t>
        </is>
      </c>
      <c r="I4" s="9" t="inlineStr">
        <is>
          <t>Limit</t>
        </is>
      </c>
      <c r="J4" s="9" t="inlineStr">
        <is>
          <t>Prestige a month</t>
        </is>
      </c>
      <c r="K4" s="9" t="inlineStr">
        <is>
          <t>Change from today</t>
        </is>
      </c>
      <c r="L4" s="9" t="inlineStr">
        <is>
          <t>Your notes</t>
        </is>
      </c>
      <c r="M4" s="9" t="inlineStr">
        <is>
          <t>My notes</t>
        </is>
      </c>
    </row>
    <row r="5" ht="13.5" customHeight="1" s="46">
      <c r="A5" s="10" t="inlineStr">
        <is>
          <t>The seat</t>
        </is>
      </c>
      <c r="B5" s="10" t="n"/>
      <c r="C5" s="10" t="n"/>
      <c r="D5" s="10" t="n"/>
      <c r="E5" s="10" t="n"/>
      <c r="F5" s="10" t="n"/>
      <c r="G5" s="10" t="n"/>
      <c r="H5" s="10" t="n"/>
      <c r="I5" s="10" t="n"/>
      <c r="J5" s="10" t="n"/>
      <c r="K5" s="10" t="n"/>
      <c r="L5" s="10" t="n"/>
    </row>
    <row r="6" ht="42" customHeight="1" s="46">
      <c r="A6" s="7" t="inlineStr">
        <is>
          <t>Manor Hall</t>
        </is>
      </c>
      <c r="B6" s="7" t="inlineStr">
        <is>
          <t>Seat</t>
        </is>
      </c>
      <c r="C6" s="7" t="inlineStr">
        <is>
          <t>The lord's timber hall. Taxes begin with it (up to 45 villagers); feasts are held here; houses the lord's household.</t>
        </is>
      </c>
      <c r="D6" s="7" t="inlineStr">
        <is>
          <t>Hamlet</t>
        </is>
      </c>
      <c r="E6" s="11" t="n"/>
      <c r="F6" s="7" t="inlineStr">
        <is>
          <t>10 timber, 6 planks, 6 stone</t>
        </is>
      </c>
      <c r="G6" s="7" t="n">
        <v>0</v>
      </c>
      <c r="H6" s="7" t="inlineStr">
        <is>
          <t>—</t>
        </is>
      </c>
      <c r="I6" s="7" t="inlineStr">
        <is>
          <t>one</t>
        </is>
      </c>
      <c r="J6" s="11" t="n">
        <v>0</v>
      </c>
      <c r="K6" s="7" t="inlineStr">
        <is>
          <t>Required for taxes now; cheaper.</t>
        </is>
      </c>
      <c r="L6" s="45" t="n"/>
    </row>
    <row r="7" ht="13.5" customHeight="1" s="46">
      <c r="A7" s="7" t="inlineStr">
        <is>
          <t>Manor House</t>
        </is>
      </c>
      <c r="B7" s="7" t="inlineStr">
        <is>
          <t>Enlarge</t>
        </is>
      </c>
      <c r="C7" s="7" t="inlineStr">
        <is>
          <t>More storage and prestige; festivals.</t>
        </is>
      </c>
      <c r="D7" s="7" t="inlineStr">
        <is>
          <t>Village</t>
        </is>
      </c>
      <c r="E7" s="11" t="n"/>
      <c r="F7" s="7" t="inlineStr">
        <is>
          <t>4 timber, 10 planks, 10 stone, 12 coins</t>
        </is>
      </c>
      <c r="G7" s="7" t="n">
        <v>0</v>
      </c>
      <c r="H7" s="7" t="inlineStr">
        <is>
          <t>—</t>
        </is>
      </c>
      <c r="I7" s="7" t="n"/>
      <c r="J7" s="11" t="n">
        <v>1.5</v>
      </c>
      <c r="K7" s="7" t="n"/>
      <c r="L7" s="45" t="n"/>
    </row>
    <row r="8" ht="27.75" customHeight="1" s="46">
      <c r="A8" s="7" t="inlineStr">
        <is>
          <t>Stone Manor</t>
        </is>
      </c>
      <c r="B8" s="7" t="inlineStr">
        <is>
          <t>Enlarge</t>
        </is>
      </c>
      <c r="C8" s="7" t="inlineStr">
        <is>
          <t>More prestige; opens walls, watch towers, the manor garden and the armoury.</t>
        </is>
      </c>
      <c r="D8" s="7" t="inlineStr">
        <is>
          <t>Town</t>
        </is>
      </c>
      <c r="E8" s="11" t="n"/>
      <c r="F8" s="7" t="inlineStr">
        <is>
          <t>5 stone, 10 dressed stone, 10 tiles, 40 coins</t>
        </is>
      </c>
      <c r="G8" s="7" t="n">
        <v>0</v>
      </c>
      <c r="H8" s="7" t="inlineStr">
        <is>
          <t>—</t>
        </is>
      </c>
      <c r="I8" s="7" t="n"/>
      <c r="J8" s="11" t="n">
        <v>3</v>
      </c>
      <c r="K8" s="7" t="n"/>
      <c r="L8" s="45" t="n"/>
    </row>
    <row r="9" ht="42" customHeight="1" s="46">
      <c r="A9" s="13" t="inlineStr">
        <is>
          <t>Palace</t>
        </is>
      </c>
      <c r="B9" s="7" t="inlineStr">
        <is>
          <t>Enlarge</t>
        </is>
      </c>
      <c r="C9" s="13" t="inlineStr">
        <is>
          <t>A palace for the lord: the most prestige; opens the atelier, the tiltyard and the barracks.</t>
        </is>
      </c>
      <c r="D9" s="7" t="inlineStr">
        <is>
          <t>Borough</t>
        </is>
      </c>
      <c r="E9" s="11" t="n"/>
      <c r="F9" s="7" t="inlineStr">
        <is>
          <t>10 dressed stone, 6 mortar, 4 tools, 60 coins</t>
        </is>
      </c>
      <c r="G9" s="7" t="n">
        <v>0</v>
      </c>
      <c r="H9" s="7" t="inlineStr">
        <is>
          <t>—</t>
        </is>
      </c>
      <c r="I9" s="7" t="n"/>
      <c r="J9" s="11" t="n">
        <v>4.5</v>
      </c>
      <c r="K9" s="13" t="inlineStr">
        <is>
          <t>New fourth level (a palace rather than a fortified manor: your answer).</t>
        </is>
      </c>
      <c r="L9" s="45" t="n"/>
    </row>
    <row r="10" ht="13.5" customHeight="1" s="46">
      <c r="A10" s="10" t="inlineStr">
        <is>
          <t>On the grounds</t>
        </is>
      </c>
      <c r="B10" s="10" t="n"/>
      <c r="C10" s="10" t="n"/>
      <c r="D10" s="10" t="n"/>
      <c r="E10" s="10" t="n"/>
      <c r="F10" s="10" t="n"/>
      <c r="G10" s="10" t="n"/>
      <c r="H10" s="10" t="n"/>
      <c r="I10" s="10" t="n"/>
      <c r="J10" s="10" t="n"/>
      <c r="K10" s="10" t="n"/>
      <c r="L10" s="10" t="n"/>
    </row>
    <row r="11" ht="13.5" customHeight="1" s="46">
      <c r="A11" s="7" t="inlineStr">
        <is>
          <t>Lord's Stable</t>
        </is>
      </c>
      <c r="B11" s="7" t="inlineStr">
        <is>
          <t>Building</t>
        </is>
      </c>
      <c r="C11" s="7" t="inlineStr">
        <is>
          <t>The lord rides out, faster; a groom. Let toggle horse</t>
        </is>
      </c>
      <c r="D11" s="7" t="inlineStr">
        <is>
          <t>Village</t>
        </is>
      </c>
      <c r="E11" s="11" t="n"/>
      <c r="F11" s="7" t="inlineStr">
        <is>
          <t>10 timber, 5 planks, 30 coins</t>
        </is>
      </c>
      <c r="G11" s="7" t="n">
        <v>1</v>
      </c>
      <c r="H11" s="7" t="inlineStr">
        <is>
          <t>—</t>
        </is>
      </c>
      <c r="I11" s="7" t="inlineStr">
        <is>
          <t>one</t>
        </is>
      </c>
      <c r="J11" s="11" t="n">
        <v>0.5</v>
      </c>
      <c r="K11" s="7" t="inlineStr">
        <is>
          <t>Was open from the start.</t>
        </is>
      </c>
      <c r="L11" s="45" t="n"/>
      <c r="M11" s="7" t="inlineStr">
        <is>
          <t>A toggle in the lord's panel: ride or walk.</t>
        </is>
      </c>
    </row>
    <row r="12" ht="42" customHeight="1" s="46">
      <c r="A12" s="7" t="inlineStr">
        <is>
          <t>Armoury</t>
        </is>
      </c>
      <c r="B12" s="7" t="inlineStr">
        <is>
          <t>Building</t>
        </is>
      </c>
      <c r="C12" s="7" t="inlineStr">
        <is>
          <t>Fits out the guard: the retinue and watchmen wear armour (looks); needed to raise the retinue.</t>
        </is>
      </c>
      <c r="D12" s="7" t="inlineStr">
        <is>
          <t>Town</t>
        </is>
      </c>
      <c r="E12" s="11" t="n"/>
      <c r="F12" s="7" t="inlineStr">
        <is>
          <t>6 planks, 6 stone, 2 tools, 20 coins</t>
        </is>
      </c>
      <c r="G12" s="7" t="n">
        <v>1</v>
      </c>
      <c r="H12" s="7" t="inlineStr">
        <is>
          <t>1 tool a year</t>
        </is>
      </c>
      <c r="I12" s="7" t="inlineStr">
        <is>
          <t>one</t>
        </is>
      </c>
      <c r="J12" s="11" t="n">
        <v>1</v>
      </c>
      <c r="K12" s="7" t="inlineStr">
        <is>
          <t>Moves from industry; arms are gone (your note).</t>
        </is>
      </c>
      <c r="L12" s="45" t="n"/>
    </row>
    <row r="13" ht="27.75" customHeight="1" s="46">
      <c r="A13" s="7" t="inlineStr">
        <is>
          <t>Manor Garden</t>
        </is>
      </c>
      <c r="B13" s="7" t="inlineStr">
        <is>
          <t>Building</t>
        </is>
      </c>
      <c r="C13" s="7" t="inlineStr">
        <is>
          <t>Formal gardens: prestige and beauty.</t>
        </is>
      </c>
      <c r="D13" s="7" t="inlineStr">
        <is>
          <t>Stone Manor</t>
        </is>
      </c>
      <c r="E13" s="11" t="n"/>
      <c r="F13" s="7" t="inlineStr">
        <is>
          <t>8 planks, 15 stone, 6 dressed stone, 200 coins</t>
        </is>
      </c>
      <c r="G13" s="7" t="n">
        <v>0</v>
      </c>
      <c r="H13" s="7" t="inlineStr">
        <is>
          <t>—</t>
        </is>
      </c>
      <c r="I13" s="7" t="inlineStr">
        <is>
          <t>one</t>
        </is>
      </c>
      <c r="J13" s="11" t="n">
        <v>4</v>
      </c>
      <c r="K13" s="7" t="n"/>
      <c r="L13" s="45" t="n"/>
    </row>
    <row r="14" ht="27.75" customHeight="1" s="46">
      <c r="A14" s="13" t="inlineStr">
        <is>
          <t>Patrons' Atelier</t>
        </is>
      </c>
      <c r="B14" s="7" t="inlineStr">
        <is>
          <t>Building</t>
        </is>
      </c>
      <c r="C14" s="7" t="inlineStr">
        <is>
          <t>Consumes a lot of goods, but every month has a chance of generating a lot of prestige and a great art. Chance start at 0 and goes up 1% every month it is maintained consecutively. When fired, enters a 1 year cooldow and start over with 50% of the previous chance) failing to maintain resets cooldown</t>
        </is>
      </c>
      <c r="D14" s="13" t="inlineStr">
        <is>
          <t>Palace</t>
        </is>
      </c>
      <c r="E14" s="11" t="n">
        <v>8</v>
      </c>
      <c r="F14" s="7" t="inlineStr">
        <is>
          <t>6 dressed stone, 8 glass</t>
        </is>
      </c>
      <c r="G14" s="13" t="n">
        <v>2</v>
      </c>
      <c r="H14" s="7" t="inlineStr">
        <is>
          <t>1 dye, 2 luxury, 10 gp, 1 dressed stone, 1 paper a month</t>
        </is>
      </c>
      <c r="I14" s="13" t="inlineStr">
        <is>
          <t>one</t>
        </is>
      </c>
      <c r="J14" s="11" t="n"/>
      <c r="K14" s="13" t="inlineStr">
        <is>
          <t>New (yours). Replaces the dovecote; works of art now come from here.</t>
        </is>
      </c>
      <c r="L14" s="45" t="n"/>
      <c r="M14" s="7" t="inlineStr">
        <is>
          <t>How I read it: each month fully supplied adds 1% to the chance of a masterpiece (one of the works of art in 5 Lordship, plus a burst of prestige). After one, a year's rest, then it starts again from half the chance it had. A month unsupplied puts the chance back to 0.</t>
        </is>
      </c>
    </row>
    <row r="15" ht="27.75" customHeight="1" s="46">
      <c r="A15" s="7" t="inlineStr">
        <is>
          <t>Stew pond (proposal)</t>
        </is>
      </c>
      <c r="B15" s="7" t="inlineStr">
        <is>
          <t>Building</t>
        </is>
      </c>
      <c r="C15" s="7" t="inlineStr">
        <is>
          <t>A fish pond on the grounds: fish for the lord's table, a little prestige.</t>
        </is>
      </c>
      <c r="D15" s="7" t="inlineStr">
        <is>
          <t>Manor House</t>
        </is>
      </c>
      <c r="E15" s="11" t="n">
        <v>4</v>
      </c>
      <c r="F15" s="7" t="inlineStr">
        <is>
          <t>4 stone, 2 planks</t>
        </is>
      </c>
      <c r="G15" s="7" t="n">
        <v>1</v>
      </c>
      <c r="H15" s="7" t="inlineStr">
        <is>
          <t>—</t>
        </is>
      </c>
      <c r="I15" s="7" t="inlineStr">
        <is>
          <t>one</t>
        </is>
      </c>
      <c r="J15" s="11" t="n">
        <v>0.5</v>
      </c>
      <c r="K15" s="7" t="inlineStr">
        <is>
          <t>New.</t>
        </is>
      </c>
      <c r="L15" s="45" t="n"/>
    </row>
    <row r="16" ht="42" customHeight="1" s="46">
      <c r="A16" s="7" t="inlineStr">
        <is>
          <t>Deer park (proposal)</t>
        </is>
      </c>
      <c r="B16" s="7" t="inlineStr">
        <is>
          <t>Zone</t>
        </is>
      </c>
      <c r="C16" s="7" t="inlineStr">
        <is>
          <t>A fenced wood on the grounds: venison and prestige; the Royal Hunt charter hunts here.</t>
        </is>
      </c>
      <c r="D16" s="7" t="inlineStr">
        <is>
          <t>Stone Manor</t>
        </is>
      </c>
      <c r="E16" s="11" t="n">
        <v>6</v>
      </c>
      <c r="F16" s="7" t="inlineStr">
        <is>
          <t>fence: 12 timber, must be 12 tiles</t>
        </is>
      </c>
      <c r="G16" s="7" t="n">
        <v>1</v>
      </c>
      <c r="H16" s="7" t="inlineStr">
        <is>
          <t>—</t>
        </is>
      </c>
      <c r="I16" s="7" t="inlineStr">
        <is>
          <t>one</t>
        </is>
      </c>
      <c r="J16" s="11" t="n">
        <v>1</v>
      </c>
      <c r="K16" s="7" t="inlineStr">
        <is>
          <t>New.</t>
        </is>
      </c>
      <c r="L16" s="45" t="n"/>
      <c r="M16" s="7" t="inlineStr">
        <is>
          <t>Fence: 12 timber, and at least 12 tiles (yours).</t>
        </is>
      </c>
    </row>
    <row r="17" ht="27.75" customHeight="1" s="46">
      <c r="A17" s="7" t="inlineStr">
        <is>
          <t>Tiltyard (proposal)</t>
        </is>
      </c>
      <c r="B17" s="7" t="inlineStr">
        <is>
          <t>Building</t>
        </is>
      </c>
      <c r="C17" s="7" t="inlineStr">
        <is>
          <t>Lists for jousting: fairs bring twice the prestige.</t>
        </is>
      </c>
      <c r="D17" s="13" t="inlineStr">
        <is>
          <t>Palace</t>
        </is>
      </c>
      <c r="E17" s="11" t="n">
        <v>8</v>
      </c>
      <c r="F17" s="7" t="inlineStr">
        <is>
          <t>8 planks, 4 stone, 40 coins</t>
        </is>
      </c>
      <c r="G17" s="7" t="n">
        <v>0</v>
      </c>
      <c r="H17" s="7" t="inlineStr">
        <is>
          <t>—</t>
        </is>
      </c>
      <c r="I17" s="7" t="inlineStr">
        <is>
          <t>one</t>
        </is>
      </c>
      <c r="J17" s="11" t="n">
        <v>1</v>
      </c>
      <c r="K17" s="7" t="inlineStr">
        <is>
          <t>New.</t>
        </is>
      </c>
      <c r="L17" s="45" t="n"/>
    </row>
    <row r="18" ht="13.5" customHeight="1" s="46">
      <c r="A18" s="10" t="inlineStr">
        <is>
          <t>Defence</t>
        </is>
      </c>
      <c r="B18" s="10" t="n"/>
      <c r="C18" s="10" t="n"/>
      <c r="D18" s="10" t="n"/>
      <c r="E18" s="10" t="n"/>
      <c r="F18" s="10" t="n"/>
      <c r="G18" s="10" t="n"/>
      <c r="H18" s="10" t="n"/>
      <c r="I18" s="10" t="n"/>
      <c r="J18" s="10" t="n"/>
      <c r="K18" s="10" t="n"/>
      <c r="L18" s="10" t="n"/>
    </row>
    <row r="19" ht="27.75" customHeight="1" s="46">
      <c r="A19" s="7" t="inlineStr">
        <is>
          <t>Watch Tower</t>
        </is>
      </c>
      <c r="B19" s="7" t="inlineStr">
        <is>
          <t>Building</t>
        </is>
      </c>
      <c r="C19" s="7" t="inlineStr">
        <is>
          <t>A watchman: +2 happiness, warns of wolves and bandits.</t>
        </is>
      </c>
      <c r="D19" s="7" t="inlineStr">
        <is>
          <t>Stone Manor</t>
        </is>
      </c>
      <c r="E19" s="11" t="n"/>
      <c r="F19" s="7" t="inlineStr">
        <is>
          <t>3 planks, 10 stone, 6 tiles</t>
        </is>
      </c>
      <c r="G19" s="7" t="n">
        <v>1</v>
      </c>
      <c r="H19" s="7" t="inlineStr">
        <is>
          <t>2 food a month</t>
        </is>
      </c>
      <c r="I19" s="7" t="inlineStr">
        <is>
          <t>2 for each rank above Village</t>
        </is>
      </c>
      <c r="J19" s="11" t="n">
        <v>0.5</v>
      </c>
      <c r="K19" s="7" t="inlineStr">
        <is>
          <t>Limit (your note).</t>
        </is>
      </c>
      <c r="L19" s="45" t="n"/>
    </row>
    <row r="20" ht="27.75" customHeight="1" s="46">
      <c r="A20" s="7" t="inlineStr">
        <is>
          <t>Town wall (section)</t>
        </is>
      </c>
      <c r="B20" s="7" t="inlineStr">
        <is>
          <t>Building</t>
        </is>
      </c>
      <c r="C20" s="7" t="inlineStr">
        <is>
          <t>Rings the town: safe behind 40 sections; a postern every sixth.</t>
        </is>
      </c>
      <c r="D20" s="7" t="inlineStr">
        <is>
          <t>Stone Manor</t>
        </is>
      </c>
      <c r="E20" s="11" t="n"/>
      <c r="F20" s="7" t="inlineStr">
        <is>
          <t>6 stone</t>
        </is>
      </c>
      <c r="G20" s="7" t="n">
        <v>0</v>
      </c>
      <c r="H20" s="7" t="inlineStr">
        <is>
          <t>—</t>
        </is>
      </c>
      <c r="I20" s="7" t="n"/>
      <c r="J20" s="11" t="inlineStr">
        <is>
          <t>1 per 20 sections (max 6)</t>
        </is>
      </c>
      <c r="K20" s="7" t="inlineStr">
        <is>
          <t>Exempt from touching the manor (5 Questions).</t>
        </is>
      </c>
      <c r="L20" s="45" t="n"/>
    </row>
    <row r="21" ht="42" customHeight="1" s="46">
      <c r="A21" s="7" t="inlineStr">
        <is>
          <t>Barracks</t>
        </is>
      </c>
      <c r="B21" s="7" t="inlineStr">
        <is>
          <t>Building</t>
        </is>
      </c>
      <c r="C21" s="13" t="inlineStr">
        <is>
          <t>Raises the retinue (60 prestige, 25 coins; 3 coins a month), and its men help the courthouse: it polices more homes.</t>
        </is>
      </c>
      <c r="D21" s="13" t="inlineStr">
        <is>
          <t>Palace</t>
        </is>
      </c>
      <c r="E21" s="26" t="n">
        <v>6</v>
      </c>
      <c r="F21" s="7" t="inlineStr">
        <is>
          <t>8 stone, 4 dressed stone, 2 tools</t>
        </is>
      </c>
      <c r="G21" s="7" t="n">
        <v>1</v>
      </c>
      <c r="H21" s="13" t="inlineStr">
        <is>
          <t>2 food a month</t>
        </is>
      </c>
      <c r="I21" s="7" t="n"/>
      <c r="J21" s="11" t="n">
        <v>1</v>
      </c>
      <c r="K21" s="13" t="inlineStr">
        <is>
          <t>New (yours); replaces the gatehouse. The retinue is raised here.</t>
        </is>
      </c>
      <c r="L21" s="45" t="n"/>
      <c r="M21" s="7" t="inlineStr">
        <is>
          <t>The retinue: men-at-arms who guard the roads when wolves or bandits come (the two events that bring trouble), +2 happiness.</t>
        </is>
      </c>
    </row>
    <row r="22" ht="15.75" customHeight="1" s="46">
      <c r="A22" s="2" t="n"/>
      <c r="B22" s="2" t="n"/>
      <c r="C22" s="2" t="n"/>
      <c r="D22" s="2" t="n"/>
      <c r="E22" s="2" t="n"/>
      <c r="F22" s="2" t="n"/>
      <c r="G22" s="2" t="n"/>
      <c r="H22" s="2" t="n"/>
      <c r="I22" s="2" t="n"/>
      <c r="J22" s="2" t="n"/>
      <c r="K22" s="2" t="n"/>
      <c r="L22" s="2" t="n"/>
    </row>
    <row r="23" ht="15" customHeight="1" s="46">
      <c r="A23" s="3" t="inlineStr">
        <is>
          <t>The manor's grounds: the manor, its buildings and the manor decorations (hedges, flower beds, gardens) touching them form one estate; the grass under it blends into a single dirt shape (art, your note).</t>
        </is>
      </c>
      <c r="B23" s="2" t="n"/>
      <c r="C23" s="2" t="n"/>
      <c r="D23" s="2" t="n"/>
      <c r="E23" s="2" t="n"/>
      <c r="F23" s="2" t="n"/>
      <c r="G23" s="2" t="n"/>
      <c r="H23" s="2" t="n"/>
      <c r="I23" s="2" t="n"/>
      <c r="J23" s="2" t="n"/>
      <c r="K23" s="2" t="n"/>
      <c r="L23" s="2" t="n"/>
    </row>
    <row r="24" ht="15.75" customHeight="1" s="46">
      <c r="A24" s="2" t="n"/>
      <c r="B24" s="2" t="n"/>
      <c r="C24" s="2" t="n"/>
      <c r="D24" s="2" t="n"/>
      <c r="E24" s="2" t="n"/>
      <c r="F24" s="2" t="n"/>
      <c r="G24" s="2" t="n"/>
      <c r="H24" s="2" t="n"/>
      <c r="I24" s="2" t="n"/>
      <c r="J24" s="2" t="n"/>
      <c r="K24" s="2" t="n"/>
      <c r="L24" s="2" t="n"/>
    </row>
    <row r="25" ht="15.75" customHeight="1" s="46">
      <c r="A25" s="2" t="n"/>
      <c r="B25" s="2" t="n"/>
      <c r="C25" s="2" t="n"/>
      <c r="D25" s="2" t="n"/>
      <c r="E25" s="2" t="n"/>
      <c r="F25" s="2" t="n"/>
      <c r="G25" s="2" t="n"/>
      <c r="H25" s="2" t="n"/>
      <c r="I25" s="2" t="n"/>
      <c r="J25" s="2" t="n"/>
      <c r="K25" s="2" t="n"/>
      <c r="L25" s="2" t="n"/>
    </row>
    <row r="26" ht="15.75" customHeight="1" s="46">
      <c r="A26" s="2" t="n"/>
      <c r="B26" s="2" t="n"/>
      <c r="C26" s="2" t="n"/>
      <c r="D26" s="2" t="n"/>
      <c r="E26" s="2" t="n"/>
      <c r="F26" s="2" t="n"/>
      <c r="G26" s="2" t="n"/>
      <c r="H26" s="2" t="n"/>
      <c r="I26" s="2" t="n"/>
      <c r="J26" s="2" t="n"/>
      <c r="K26" s="2" t="n"/>
      <c r="L26" s="2" t="n"/>
    </row>
    <row r="27" ht="15.75" customHeight="1" s="46">
      <c r="A27" s="2" t="n"/>
      <c r="B27" s="2" t="n"/>
      <c r="C27" s="2" t="n"/>
      <c r="D27" s="2" t="n"/>
      <c r="E27" s="2" t="n"/>
      <c r="F27" s="2" t="n"/>
      <c r="G27" s="2" t="n"/>
      <c r="H27" s="2" t="n"/>
      <c r="I27" s="2" t="n"/>
      <c r="J27" s="2" t="n"/>
      <c r="K27" s="2" t="n"/>
      <c r="L27" s="2" t="n"/>
    </row>
    <row r="28" ht="15.75" customHeight="1" s="46">
      <c r="A28" s="2" t="n"/>
      <c r="B28" s="2" t="n"/>
      <c r="C28" s="2" t="n"/>
      <c r="D28" s="2" t="n"/>
      <c r="E28" s="2" t="n"/>
      <c r="F28" s="2" t="n"/>
      <c r="G28" s="2" t="n"/>
      <c r="H28" s="2" t="n"/>
      <c r="I28" s="2" t="n"/>
      <c r="J28" s="2" t="n"/>
      <c r="K28" s="2" t="n"/>
      <c r="L28" s="2" t="n"/>
    </row>
    <row r="29" ht="15.75" customHeight="1" s="46">
      <c r="A29" s="2" t="n"/>
      <c r="B29" s="2" t="n"/>
      <c r="C29" s="2" t="n"/>
      <c r="D29" s="2" t="n"/>
      <c r="E29" s="2" t="n"/>
      <c r="F29" s="2" t="n"/>
      <c r="G29" s="2" t="n"/>
      <c r="H29" s="2" t="n"/>
      <c r="I29" s="2" t="n"/>
      <c r="J29" s="2" t="n"/>
      <c r="K29" s="2" t="n"/>
      <c r="L29" s="2" t="n"/>
    </row>
    <row r="30" ht="15.75" customHeight="1" s="46">
      <c r="A30" s="2" t="n"/>
      <c r="B30" s="2" t="n"/>
      <c r="C30" s="2" t="n"/>
      <c r="D30" s="2" t="n"/>
      <c r="E30" s="2" t="n"/>
      <c r="F30" s="2" t="n"/>
      <c r="G30" s="2" t="n"/>
      <c r="H30" s="2" t="n"/>
      <c r="I30" s="2" t="n"/>
      <c r="J30" s="2" t="n"/>
      <c r="K30" s="2" t="n"/>
      <c r="L30" s="2" t="n"/>
    </row>
    <row r="31" ht="15.75" customHeight="1" s="46">
      <c r="A31" s="2" t="n"/>
      <c r="B31" s="2" t="n"/>
      <c r="C31" s="2" t="n"/>
      <c r="D31" s="2" t="n"/>
      <c r="E31" s="2" t="n"/>
      <c r="F31" s="2" t="n"/>
      <c r="G31" s="2" t="n"/>
      <c r="H31" s="2" t="n"/>
      <c r="I31" s="2" t="n"/>
      <c r="J31" s="2" t="n"/>
      <c r="K31" s="2" t="n"/>
      <c r="L31" s="2" t="n"/>
    </row>
    <row r="32" ht="15.75" customHeight="1" s="46">
      <c r="A32" s="2" t="n"/>
      <c r="B32" s="2" t="n"/>
      <c r="C32" s="2" t="n"/>
      <c r="D32" s="2" t="n"/>
      <c r="E32" s="2" t="n"/>
      <c r="F32" s="2" t="n"/>
      <c r="G32" s="2" t="n"/>
      <c r="H32" s="2" t="n"/>
      <c r="I32" s="2" t="n"/>
      <c r="J32" s="2" t="n"/>
      <c r="K32" s="2" t="n"/>
      <c r="L32" s="2" t="n"/>
    </row>
    <row r="33" ht="15.75" customHeight="1" s="46">
      <c r="A33" s="2" t="n"/>
      <c r="B33" s="2" t="n"/>
      <c r="C33" s="2" t="n"/>
      <c r="D33" s="2" t="n"/>
      <c r="E33" s="2" t="n"/>
      <c r="F33" s="2" t="n"/>
      <c r="G33" s="2" t="n"/>
      <c r="H33" s="2" t="n"/>
      <c r="I33" s="2" t="n"/>
      <c r="J33" s="2" t="n"/>
      <c r="K33" s="2" t="n"/>
      <c r="L33" s="2" t="n"/>
    </row>
    <row r="34" ht="15.75" customHeight="1" s="46">
      <c r="A34" s="2" t="n"/>
      <c r="B34" s="2" t="n"/>
      <c r="C34" s="2" t="n"/>
      <c r="D34" s="2" t="n"/>
      <c r="E34" s="2" t="n"/>
      <c r="F34" s="2" t="n"/>
      <c r="G34" s="2" t="n"/>
      <c r="H34" s="2" t="n"/>
      <c r="I34" s="2" t="n"/>
      <c r="J34" s="2" t="n"/>
      <c r="K34" s="2" t="n"/>
      <c r="L34" s="2" t="n"/>
    </row>
    <row r="35" ht="15.75" customHeight="1" s="46">
      <c r="A35" s="2" t="n"/>
      <c r="B35" s="2" t="n"/>
      <c r="C35" s="2" t="n"/>
      <c r="D35" s="2" t="n"/>
      <c r="E35" s="2" t="n"/>
      <c r="F35" s="2" t="n"/>
      <c r="G35" s="2" t="n"/>
      <c r="H35" s="2" t="n"/>
      <c r="I35" s="2" t="n"/>
      <c r="J35" s="2" t="n"/>
      <c r="K35" s="2" t="n"/>
      <c r="L35" s="2" t="n"/>
    </row>
    <row r="36" ht="15.75" customHeight="1" s="46">
      <c r="A36" s="2" t="n"/>
      <c r="B36" s="2" t="n"/>
      <c r="C36" s="2" t="n"/>
      <c r="D36" s="2" t="n"/>
      <c r="E36" s="2" t="n"/>
      <c r="F36" s="2" t="n"/>
      <c r="G36" s="2" t="n"/>
      <c r="H36" s="2" t="n"/>
      <c r="I36" s="2" t="n"/>
      <c r="J36" s="2" t="n"/>
      <c r="K36" s="2" t="n"/>
      <c r="L36" s="2" t="n"/>
    </row>
    <row r="37" ht="15.75" customHeight="1" s="46">
      <c r="A37" s="2" t="n"/>
      <c r="B37" s="2" t="n"/>
      <c r="C37" s="2" t="n"/>
      <c r="D37" s="2" t="n"/>
      <c r="E37" s="2" t="n"/>
      <c r="F37" s="2" t="n"/>
      <c r="G37" s="2" t="n"/>
      <c r="H37" s="2" t="n"/>
      <c r="I37" s="2" t="n"/>
      <c r="J37" s="2" t="n"/>
      <c r="K37" s="2" t="n"/>
      <c r="L37" s="2" t="n"/>
    </row>
    <row r="38" ht="15.75" customHeight="1" s="46">
      <c r="A38" s="2" t="n"/>
      <c r="B38" s="2" t="n"/>
      <c r="C38" s="2" t="n"/>
      <c r="D38" s="2" t="n"/>
      <c r="E38" s="2" t="n"/>
      <c r="F38" s="2" t="n"/>
      <c r="G38" s="2" t="n"/>
      <c r="H38" s="2" t="n"/>
      <c r="I38" s="2" t="n"/>
      <c r="J38" s="2" t="n"/>
      <c r="K38" s="2" t="n"/>
      <c r="L38" s="2" t="n"/>
    </row>
    <row r="39" ht="15.75" customHeight="1" s="46">
      <c r="A39" s="2" t="n"/>
      <c r="B39" s="2" t="n"/>
      <c r="C39" s="2" t="n"/>
      <c r="D39" s="2" t="n"/>
      <c r="E39" s="2" t="n"/>
      <c r="F39" s="2" t="n"/>
      <c r="G39" s="2" t="n"/>
      <c r="H39" s="2" t="n"/>
      <c r="I39" s="2" t="n"/>
      <c r="J39" s="2" t="n"/>
      <c r="K39" s="2" t="n"/>
      <c r="L39" s="2" t="n"/>
    </row>
    <row r="40" ht="15.75" customHeight="1" s="46">
      <c r="A40" s="2" t="n"/>
      <c r="B40" s="2" t="n"/>
      <c r="C40" s="2" t="n"/>
      <c r="D40" s="2" t="n"/>
      <c r="E40" s="2" t="n"/>
      <c r="F40" s="2" t="n"/>
      <c r="G40" s="2" t="n"/>
      <c r="H40" s="2" t="n"/>
      <c r="I40" s="2" t="n"/>
      <c r="J40" s="2" t="n"/>
      <c r="K40" s="2" t="n"/>
      <c r="L40" s="2" t="n"/>
    </row>
    <row r="41" ht="15.75" customHeight="1" s="46">
      <c r="A41" s="2" t="n"/>
      <c r="B41" s="2" t="n"/>
      <c r="C41" s="2" t="n"/>
      <c r="D41" s="2" t="n"/>
      <c r="E41" s="2" t="n"/>
      <c r="F41" s="2" t="n"/>
      <c r="G41" s="2" t="n"/>
      <c r="H41" s="2" t="n"/>
      <c r="I41" s="2" t="n"/>
      <c r="J41" s="2" t="n"/>
      <c r="K41" s="2" t="n"/>
      <c r="L41" s="2" t="n"/>
    </row>
    <row r="42" ht="15.75" customHeight="1" s="46">
      <c r="A42" s="2" t="n"/>
      <c r="B42" s="2" t="n"/>
      <c r="C42" s="2" t="n"/>
      <c r="D42" s="2" t="n"/>
      <c r="E42" s="2" t="n"/>
      <c r="F42" s="2" t="n"/>
      <c r="G42" s="2" t="n"/>
      <c r="H42" s="2" t="n"/>
      <c r="I42" s="2" t="n"/>
      <c r="J42" s="2" t="n"/>
      <c r="K42" s="2" t="n"/>
      <c r="L42" s="2" t="n"/>
    </row>
    <row r="43" ht="15.75" customHeight="1" s="46">
      <c r="A43" s="2" t="n"/>
      <c r="B43" s="2" t="n"/>
      <c r="C43" s="2" t="n"/>
      <c r="D43" s="2" t="n"/>
      <c r="E43" s="2" t="n"/>
      <c r="F43" s="2" t="n"/>
      <c r="G43" s="2" t="n"/>
      <c r="H43" s="2" t="n"/>
      <c r="I43" s="2" t="n"/>
      <c r="J43" s="2" t="n"/>
      <c r="K43" s="2" t="n"/>
      <c r="L43" s="2" t="n"/>
    </row>
    <row r="44" ht="15.75" customHeight="1" s="46">
      <c r="A44" s="2" t="n"/>
      <c r="B44" s="2" t="n"/>
      <c r="C44" s="2" t="n"/>
      <c r="D44" s="2" t="n"/>
      <c r="E44" s="2" t="n"/>
      <c r="F44" s="2" t="n"/>
      <c r="G44" s="2" t="n"/>
      <c r="H44" s="2" t="n"/>
      <c r="I44" s="2" t="n"/>
      <c r="J44" s="2" t="n"/>
      <c r="K44" s="2" t="n"/>
      <c r="L44" s="2" t="n"/>
    </row>
    <row r="45" ht="15.75" customHeight="1" s="46">
      <c r="A45" s="2" t="n"/>
      <c r="B45" s="2" t="n"/>
      <c r="C45" s="2" t="n"/>
      <c r="D45" s="2" t="n"/>
      <c r="E45" s="2" t="n"/>
      <c r="F45" s="2" t="n"/>
      <c r="G45" s="2" t="n"/>
      <c r="H45" s="2" t="n"/>
      <c r="I45" s="2" t="n"/>
      <c r="J45" s="2" t="n"/>
      <c r="K45" s="2" t="n"/>
      <c r="L45" s="2" t="n"/>
    </row>
    <row r="46" ht="15.75" customHeight="1" s="46">
      <c r="A46" s="2" t="n"/>
      <c r="B46" s="2" t="n"/>
      <c r="C46" s="2" t="n"/>
      <c r="D46" s="2" t="n"/>
      <c r="E46" s="2" t="n"/>
      <c r="F46" s="2" t="n"/>
      <c r="G46" s="2" t="n"/>
      <c r="H46" s="2" t="n"/>
      <c r="I46" s="2" t="n"/>
      <c r="J46" s="2" t="n"/>
      <c r="K46" s="2" t="n"/>
      <c r="L46" s="2" t="n"/>
    </row>
    <row r="47" ht="15.75" customHeight="1" s="46">
      <c r="A47" s="2" t="n"/>
      <c r="B47" s="2" t="n"/>
      <c r="C47" s="2" t="n"/>
      <c r="D47" s="2" t="n"/>
      <c r="E47" s="2" t="n"/>
      <c r="F47" s="2" t="n"/>
      <c r="G47" s="2" t="n"/>
      <c r="H47" s="2" t="n"/>
      <c r="I47" s="2" t="n"/>
      <c r="J47" s="2" t="n"/>
      <c r="K47" s="2" t="n"/>
      <c r="L47" s="2" t="n"/>
    </row>
    <row r="48" ht="15.75" customHeight="1" s="46">
      <c r="A48" s="2" t="n"/>
      <c r="B48" s="2" t="n"/>
      <c r="C48" s="2" t="n"/>
      <c r="D48" s="2" t="n"/>
      <c r="E48" s="2" t="n"/>
      <c r="F48" s="2" t="n"/>
      <c r="G48" s="2" t="n"/>
      <c r="H48" s="2" t="n"/>
      <c r="I48" s="2" t="n"/>
      <c r="J48" s="2" t="n"/>
      <c r="K48" s="2" t="n"/>
      <c r="L48" s="2" t="n"/>
    </row>
    <row r="49" ht="15.75" customHeight="1" s="46">
      <c r="A49" s="2" t="n"/>
      <c r="B49" s="2" t="n"/>
      <c r="C49" s="2" t="n"/>
      <c r="D49" s="2" t="n"/>
      <c r="E49" s="2" t="n"/>
      <c r="F49" s="2" t="n"/>
      <c r="G49" s="2" t="n"/>
      <c r="H49" s="2" t="n"/>
      <c r="I49" s="2" t="n"/>
      <c r="J49" s="2" t="n"/>
      <c r="K49" s="2" t="n"/>
      <c r="L49" s="2" t="n"/>
    </row>
    <row r="50" ht="15.75" customHeight="1" s="46">
      <c r="A50" s="2" t="n"/>
      <c r="B50" s="2" t="n"/>
      <c r="C50" s="2" t="n"/>
      <c r="D50" s="2" t="n"/>
      <c r="E50" s="2" t="n"/>
      <c r="F50" s="2" t="n"/>
      <c r="G50" s="2" t="n"/>
      <c r="H50" s="2" t="n"/>
      <c r="I50" s="2" t="n"/>
      <c r="J50" s="2" t="n"/>
      <c r="K50" s="2" t="n"/>
      <c r="L50" s="2" t="n"/>
    </row>
    <row r="51" ht="15.75" customHeight="1" s="46">
      <c r="A51" s="2" t="n"/>
      <c r="B51" s="2" t="n"/>
      <c r="C51" s="2" t="n"/>
      <c r="D51" s="2" t="n"/>
      <c r="E51" s="2" t="n"/>
      <c r="F51" s="2" t="n"/>
      <c r="G51" s="2" t="n"/>
      <c r="H51" s="2" t="n"/>
      <c r="I51" s="2" t="n"/>
      <c r="J51" s="2" t="n"/>
      <c r="K51" s="2" t="n"/>
      <c r="L51" s="2" t="n"/>
    </row>
    <row r="52" ht="15.75" customHeight="1" s="46">
      <c r="A52" s="2" t="n"/>
      <c r="B52" s="2" t="n"/>
      <c r="C52" s="2" t="n"/>
      <c r="D52" s="2" t="n"/>
      <c r="E52" s="2" t="n"/>
      <c r="F52" s="2" t="n"/>
      <c r="G52" s="2" t="n"/>
      <c r="H52" s="2" t="n"/>
      <c r="I52" s="2" t="n"/>
      <c r="J52" s="2" t="n"/>
      <c r="K52" s="2" t="n"/>
      <c r="L52" s="2" t="n"/>
    </row>
    <row r="53" ht="15.75" customHeight="1" s="46">
      <c r="A53" s="2" t="n"/>
      <c r="B53" s="2" t="n"/>
      <c r="C53" s="2" t="n"/>
      <c r="D53" s="2" t="n"/>
      <c r="E53" s="2" t="n"/>
      <c r="F53" s="2" t="n"/>
      <c r="G53" s="2" t="n"/>
      <c r="H53" s="2" t="n"/>
      <c r="I53" s="2" t="n"/>
      <c r="J53" s="2" t="n"/>
      <c r="K53" s="2" t="n"/>
      <c r="L53" s="2" t="n"/>
    </row>
    <row r="54" ht="15.75" customHeight="1" s="46">
      <c r="A54" s="2" t="n"/>
      <c r="B54" s="2" t="n"/>
      <c r="C54" s="2" t="n"/>
      <c r="D54" s="2" t="n"/>
      <c r="E54" s="2" t="n"/>
      <c r="F54" s="2" t="n"/>
      <c r="G54" s="2" t="n"/>
      <c r="H54" s="2" t="n"/>
      <c r="I54" s="2" t="n"/>
      <c r="J54" s="2" t="n"/>
      <c r="K54" s="2" t="n"/>
      <c r="L54" s="2" t="n"/>
    </row>
    <row r="55" ht="15.75" customHeight="1" s="46">
      <c r="A55" s="2" t="n"/>
      <c r="B55" s="2" t="n"/>
      <c r="C55" s="2" t="n"/>
      <c r="D55" s="2" t="n"/>
      <c r="E55" s="2" t="n"/>
      <c r="F55" s="2" t="n"/>
      <c r="G55" s="2" t="n"/>
      <c r="H55" s="2" t="n"/>
      <c r="I55" s="2" t="n"/>
      <c r="J55" s="2" t="n"/>
      <c r="K55" s="2" t="n"/>
      <c r="L55" s="2" t="n"/>
    </row>
    <row r="56" ht="15.75" customHeight="1" s="46">
      <c r="A56" s="2" t="n"/>
      <c r="B56" s="2" t="n"/>
      <c r="C56" s="2" t="n"/>
      <c r="D56" s="2" t="n"/>
      <c r="E56" s="2" t="n"/>
      <c r="F56" s="2" t="n"/>
      <c r="G56" s="2" t="n"/>
      <c r="H56" s="2" t="n"/>
      <c r="I56" s="2" t="n"/>
      <c r="J56" s="2" t="n"/>
      <c r="K56" s="2" t="n"/>
      <c r="L56" s="2" t="n"/>
    </row>
    <row r="57" ht="15.75" customHeight="1" s="46">
      <c r="A57" s="2" t="n"/>
      <c r="B57" s="2" t="n"/>
      <c r="C57" s="2" t="n"/>
      <c r="D57" s="2" t="n"/>
      <c r="E57" s="2" t="n"/>
      <c r="F57" s="2" t="n"/>
      <c r="G57" s="2" t="n"/>
      <c r="H57" s="2" t="n"/>
      <c r="I57" s="2" t="n"/>
      <c r="J57" s="2" t="n"/>
      <c r="K57" s="2" t="n"/>
      <c r="L57" s="2" t="n"/>
    </row>
    <row r="58" ht="15.75" customHeight="1" s="46">
      <c r="A58" s="2" t="n"/>
      <c r="B58" s="2" t="n"/>
      <c r="C58" s="2" t="n"/>
      <c r="D58" s="2" t="n"/>
      <c r="E58" s="2" t="n"/>
      <c r="F58" s="2" t="n"/>
      <c r="G58" s="2" t="n"/>
      <c r="H58" s="2" t="n"/>
      <c r="I58" s="2" t="n"/>
      <c r="J58" s="2" t="n"/>
      <c r="K58" s="2" t="n"/>
      <c r="L58" s="2" t="n"/>
    </row>
    <row r="59" ht="15.75" customHeight="1" s="46">
      <c r="A59" s="2" t="n"/>
      <c r="B59" s="2" t="n"/>
      <c r="C59" s="2" t="n"/>
      <c r="D59" s="2" t="n"/>
      <c r="E59" s="2" t="n"/>
      <c r="F59" s="2" t="n"/>
      <c r="G59" s="2" t="n"/>
      <c r="H59" s="2" t="n"/>
      <c r="I59" s="2" t="n"/>
      <c r="J59" s="2" t="n"/>
      <c r="K59" s="2" t="n"/>
      <c r="L59" s="2" t="n"/>
    </row>
    <row r="60" ht="15.75" customHeight="1" s="46">
      <c r="A60" s="2" t="n"/>
      <c r="B60" s="2" t="n"/>
      <c r="C60" s="2" t="n"/>
      <c r="D60" s="2" t="n"/>
      <c r="E60" s="2" t="n"/>
      <c r="F60" s="2" t="n"/>
      <c r="G60" s="2" t="n"/>
      <c r="H60" s="2" t="n"/>
      <c r="I60" s="2" t="n"/>
      <c r="J60" s="2" t="n"/>
      <c r="K60" s="2" t="n"/>
      <c r="L60" s="2" t="n"/>
    </row>
    <row r="61" ht="15.75" customHeight="1" s="46">
      <c r="A61" s="2" t="n"/>
      <c r="B61" s="2" t="n"/>
      <c r="C61" s="2" t="n"/>
      <c r="D61" s="2" t="n"/>
      <c r="E61" s="2" t="n"/>
      <c r="F61" s="2" t="n"/>
      <c r="G61" s="2" t="n"/>
      <c r="H61" s="2" t="n"/>
      <c r="I61" s="2" t="n"/>
      <c r="J61" s="2" t="n"/>
      <c r="K61" s="2" t="n"/>
      <c r="L61" s="2" t="n"/>
    </row>
    <row r="62" ht="15.75" customHeight="1" s="46">
      <c r="A62" s="2" t="n"/>
      <c r="B62" s="2" t="n"/>
      <c r="C62" s="2" t="n"/>
      <c r="D62" s="2" t="n"/>
      <c r="E62" s="2" t="n"/>
      <c r="F62" s="2" t="n"/>
      <c r="G62" s="2" t="n"/>
      <c r="H62" s="2" t="n"/>
      <c r="I62" s="2" t="n"/>
      <c r="J62" s="2" t="n"/>
      <c r="K62" s="2" t="n"/>
      <c r="L62" s="2" t="n"/>
    </row>
    <row r="63" ht="15.75" customHeight="1" s="46">
      <c r="A63" s="2" t="n"/>
      <c r="B63" s="2" t="n"/>
      <c r="C63" s="2" t="n"/>
      <c r="D63" s="2" t="n"/>
      <c r="E63" s="2" t="n"/>
      <c r="F63" s="2" t="n"/>
      <c r="G63" s="2" t="n"/>
      <c r="H63" s="2" t="n"/>
      <c r="I63" s="2" t="n"/>
      <c r="J63" s="2" t="n"/>
      <c r="K63" s="2" t="n"/>
      <c r="L63" s="2" t="n"/>
    </row>
    <row r="64" ht="15.75" customHeight="1" s="46">
      <c r="A64" s="2" t="n"/>
      <c r="B64" s="2" t="n"/>
      <c r="C64" s="2" t="n"/>
      <c r="D64" s="2" t="n"/>
      <c r="E64" s="2" t="n"/>
      <c r="F64" s="2" t="n"/>
      <c r="G64" s="2" t="n"/>
      <c r="H64" s="2" t="n"/>
      <c r="I64" s="2" t="n"/>
      <c r="J64" s="2" t="n"/>
      <c r="K64" s="2" t="n"/>
      <c r="L64" s="2" t="n"/>
    </row>
    <row r="65" ht="15.75" customHeight="1" s="46">
      <c r="A65" s="2" t="n"/>
      <c r="B65" s="2" t="n"/>
      <c r="C65" s="2" t="n"/>
      <c r="D65" s="2" t="n"/>
      <c r="E65" s="2" t="n"/>
      <c r="F65" s="2" t="n"/>
      <c r="G65" s="2" t="n"/>
      <c r="H65" s="2" t="n"/>
      <c r="I65" s="2" t="n"/>
      <c r="J65" s="2" t="n"/>
      <c r="K65" s="2" t="n"/>
      <c r="L65" s="2" t="n"/>
    </row>
    <row r="66" ht="15.75" customHeight="1" s="46">
      <c r="A66" s="2" t="n"/>
      <c r="B66" s="2" t="n"/>
      <c r="C66" s="2" t="n"/>
      <c r="D66" s="2" t="n"/>
      <c r="E66" s="2" t="n"/>
      <c r="F66" s="2" t="n"/>
      <c r="G66" s="2" t="n"/>
      <c r="H66" s="2" t="n"/>
      <c r="I66" s="2" t="n"/>
      <c r="J66" s="2" t="n"/>
      <c r="K66" s="2" t="n"/>
      <c r="L66" s="2" t="n"/>
    </row>
    <row r="67" ht="15.75" customHeight="1" s="46">
      <c r="A67" s="2" t="n"/>
      <c r="B67" s="2" t="n"/>
      <c r="C67" s="2" t="n"/>
      <c r="D67" s="2" t="n"/>
      <c r="E67" s="2" t="n"/>
      <c r="F67" s="2" t="n"/>
      <c r="G67" s="2" t="n"/>
      <c r="H67" s="2" t="n"/>
      <c r="I67" s="2" t="n"/>
      <c r="J67" s="2" t="n"/>
      <c r="K67" s="2" t="n"/>
      <c r="L67" s="2" t="n"/>
    </row>
    <row r="68" ht="15.75" customHeight="1" s="46">
      <c r="A68" s="2" t="n"/>
      <c r="B68" s="2" t="n"/>
      <c r="C68" s="2" t="n"/>
      <c r="D68" s="2" t="n"/>
      <c r="E68" s="2" t="n"/>
      <c r="F68" s="2" t="n"/>
      <c r="G68" s="2" t="n"/>
      <c r="H68" s="2" t="n"/>
      <c r="I68" s="2" t="n"/>
      <c r="J68" s="2" t="n"/>
      <c r="K68" s="2" t="n"/>
      <c r="L68" s="2" t="n"/>
    </row>
    <row r="69" ht="15.75" customHeight="1" s="46">
      <c r="A69" s="2" t="n"/>
      <c r="B69" s="2" t="n"/>
      <c r="C69" s="2" t="n"/>
      <c r="D69" s="2" t="n"/>
      <c r="E69" s="2" t="n"/>
      <c r="F69" s="2" t="n"/>
      <c r="G69" s="2" t="n"/>
      <c r="H69" s="2" t="n"/>
      <c r="I69" s="2" t="n"/>
      <c r="J69" s="2" t="n"/>
      <c r="K69" s="2" t="n"/>
      <c r="L69" s="2" t="n"/>
    </row>
    <row r="70" ht="15.75" customHeight="1" s="46">
      <c r="A70" s="2" t="n"/>
      <c r="B70" s="2" t="n"/>
      <c r="C70" s="2" t="n"/>
      <c r="D70" s="2" t="n"/>
      <c r="E70" s="2" t="n"/>
      <c r="F70" s="2" t="n"/>
      <c r="G70" s="2" t="n"/>
      <c r="H70" s="2" t="n"/>
      <c r="I70" s="2" t="n"/>
      <c r="J70" s="2" t="n"/>
      <c r="K70" s="2" t="n"/>
      <c r="L70" s="2" t="n"/>
    </row>
    <row r="71" ht="15.75" customHeight="1" s="46">
      <c r="A71" s="2" t="n"/>
      <c r="B71" s="2" t="n"/>
      <c r="C71" s="2" t="n"/>
      <c r="D71" s="2" t="n"/>
      <c r="E71" s="2" t="n"/>
      <c r="F71" s="2" t="n"/>
      <c r="G71" s="2" t="n"/>
      <c r="H71" s="2" t="n"/>
      <c r="I71" s="2" t="n"/>
      <c r="J71" s="2" t="n"/>
      <c r="K71" s="2" t="n"/>
      <c r="L71" s="2" t="n"/>
    </row>
    <row r="72" ht="15.75" customHeight="1" s="46">
      <c r="A72" s="2" t="n"/>
      <c r="B72" s="2" t="n"/>
      <c r="C72" s="2" t="n"/>
      <c r="D72" s="2" t="n"/>
      <c r="E72" s="2" t="n"/>
      <c r="F72" s="2" t="n"/>
      <c r="G72" s="2" t="n"/>
      <c r="H72" s="2" t="n"/>
      <c r="I72" s="2" t="n"/>
      <c r="J72" s="2" t="n"/>
      <c r="K72" s="2" t="n"/>
      <c r="L72" s="2" t="n"/>
    </row>
    <row r="73" ht="15.75" customHeight="1" s="46">
      <c r="A73" s="2" t="n"/>
      <c r="B73" s="2" t="n"/>
      <c r="C73" s="2" t="n"/>
      <c r="D73" s="2" t="n"/>
      <c r="E73" s="2" t="n"/>
      <c r="F73" s="2" t="n"/>
      <c r="G73" s="2" t="n"/>
      <c r="H73" s="2" t="n"/>
      <c r="I73" s="2" t="n"/>
      <c r="J73" s="2" t="n"/>
      <c r="K73" s="2" t="n"/>
      <c r="L73" s="2" t="n"/>
    </row>
    <row r="74" ht="15.75" customHeight="1" s="46">
      <c r="A74" s="2" t="n"/>
      <c r="B74" s="2" t="n"/>
      <c r="C74" s="2" t="n"/>
      <c r="D74" s="2" t="n"/>
      <c r="E74" s="2" t="n"/>
      <c r="F74" s="2" t="n"/>
      <c r="G74" s="2" t="n"/>
      <c r="H74" s="2" t="n"/>
      <c r="I74" s="2" t="n"/>
      <c r="J74" s="2" t="n"/>
      <c r="K74" s="2" t="n"/>
      <c r="L74" s="2" t="n"/>
    </row>
    <row r="75" ht="15.75" customHeight="1" s="46">
      <c r="A75" s="2" t="n"/>
      <c r="B75" s="2" t="n"/>
      <c r="C75" s="2" t="n"/>
      <c r="D75" s="2" t="n"/>
      <c r="E75" s="2" t="n"/>
      <c r="F75" s="2" t="n"/>
      <c r="G75" s="2" t="n"/>
      <c r="H75" s="2" t="n"/>
      <c r="I75" s="2" t="n"/>
      <c r="J75" s="2" t="n"/>
      <c r="K75" s="2" t="n"/>
      <c r="L75" s="2" t="n"/>
    </row>
    <row r="76" ht="15.75" customHeight="1" s="46">
      <c r="A76" s="2" t="n"/>
      <c r="B76" s="2" t="n"/>
      <c r="C76" s="2" t="n"/>
      <c r="D76" s="2" t="n"/>
      <c r="E76" s="2" t="n"/>
      <c r="F76" s="2" t="n"/>
      <c r="G76" s="2" t="n"/>
      <c r="H76" s="2" t="n"/>
      <c r="I76" s="2" t="n"/>
      <c r="J76" s="2" t="n"/>
      <c r="K76" s="2" t="n"/>
      <c r="L76" s="2" t="n"/>
    </row>
    <row r="77" ht="15.75" customHeight="1" s="46">
      <c r="A77" s="2" t="n"/>
      <c r="B77" s="2" t="n"/>
      <c r="C77" s="2" t="n"/>
      <c r="D77" s="2" t="n"/>
      <c r="E77" s="2" t="n"/>
      <c r="F77" s="2" t="n"/>
      <c r="G77" s="2" t="n"/>
      <c r="H77" s="2" t="n"/>
      <c r="I77" s="2" t="n"/>
      <c r="J77" s="2" t="n"/>
      <c r="K77" s="2" t="n"/>
      <c r="L77" s="2" t="n"/>
    </row>
    <row r="78" ht="15.75" customHeight="1" s="46">
      <c r="A78" s="2" t="n"/>
      <c r="B78" s="2" t="n"/>
      <c r="C78" s="2" t="n"/>
      <c r="D78" s="2" t="n"/>
      <c r="E78" s="2" t="n"/>
      <c r="F78" s="2" t="n"/>
      <c r="G78" s="2" t="n"/>
      <c r="H78" s="2" t="n"/>
      <c r="I78" s="2" t="n"/>
      <c r="J78" s="2" t="n"/>
      <c r="K78" s="2" t="n"/>
      <c r="L78" s="2" t="n"/>
    </row>
    <row r="79" ht="15.75" customHeight="1" s="46">
      <c r="A79" s="2" t="n"/>
      <c r="B79" s="2" t="n"/>
      <c r="C79" s="2" t="n"/>
      <c r="D79" s="2" t="n"/>
      <c r="E79" s="2" t="n"/>
      <c r="F79" s="2" t="n"/>
      <c r="G79" s="2" t="n"/>
      <c r="H79" s="2" t="n"/>
      <c r="I79" s="2" t="n"/>
      <c r="J79" s="2" t="n"/>
      <c r="K79" s="2" t="n"/>
      <c r="L79" s="2" t="n"/>
    </row>
    <row r="80" ht="15.75" customHeight="1" s="46">
      <c r="A80" s="2" t="n"/>
      <c r="B80" s="2" t="n"/>
      <c r="C80" s="2" t="n"/>
      <c r="D80" s="2" t="n"/>
      <c r="E80" s="2" t="n"/>
      <c r="F80" s="2" t="n"/>
      <c r="G80" s="2" t="n"/>
      <c r="H80" s="2" t="n"/>
      <c r="I80" s="2" t="n"/>
      <c r="J80" s="2" t="n"/>
      <c r="K80" s="2" t="n"/>
      <c r="L80" s="2" t="n"/>
    </row>
    <row r="81" ht="15.75" customHeight="1" s="46">
      <c r="A81" s="2" t="n"/>
      <c r="B81" s="2" t="n"/>
      <c r="C81" s="2" t="n"/>
      <c r="D81" s="2" t="n"/>
      <c r="E81" s="2" t="n"/>
      <c r="F81" s="2" t="n"/>
      <c r="G81" s="2" t="n"/>
      <c r="H81" s="2" t="n"/>
      <c r="I81" s="2" t="n"/>
      <c r="J81" s="2" t="n"/>
      <c r="K81" s="2" t="n"/>
      <c r="L81" s="2" t="n"/>
    </row>
    <row r="82" ht="15.75" customHeight="1" s="46">
      <c r="A82" s="2" t="n"/>
      <c r="B82" s="2" t="n"/>
      <c r="C82" s="2" t="n"/>
      <c r="D82" s="2" t="n"/>
      <c r="E82" s="2" t="n"/>
      <c r="F82" s="2" t="n"/>
      <c r="G82" s="2" t="n"/>
      <c r="H82" s="2" t="n"/>
      <c r="I82" s="2" t="n"/>
      <c r="J82" s="2" t="n"/>
      <c r="K82" s="2" t="n"/>
      <c r="L82" s="2" t="n"/>
    </row>
    <row r="83" ht="15.75" customHeight="1" s="46">
      <c r="A83" s="2" t="n"/>
      <c r="B83" s="2" t="n"/>
      <c r="C83" s="2" t="n"/>
      <c r="D83" s="2" t="n"/>
      <c r="E83" s="2" t="n"/>
      <c r="F83" s="2" t="n"/>
      <c r="G83" s="2" t="n"/>
      <c r="H83" s="2" t="n"/>
      <c r="I83" s="2" t="n"/>
      <c r="J83" s="2" t="n"/>
      <c r="K83" s="2" t="n"/>
      <c r="L83" s="2" t="n"/>
    </row>
    <row r="84" ht="15.75" customHeight="1" s="46">
      <c r="A84" s="2" t="n"/>
      <c r="B84" s="2" t="n"/>
      <c r="C84" s="2" t="n"/>
      <c r="D84" s="2" t="n"/>
      <c r="E84" s="2" t="n"/>
      <c r="F84" s="2" t="n"/>
      <c r="G84" s="2" t="n"/>
      <c r="H84" s="2" t="n"/>
      <c r="I84" s="2" t="n"/>
      <c r="J84" s="2" t="n"/>
      <c r="K84" s="2" t="n"/>
      <c r="L84" s="2" t="n"/>
    </row>
    <row r="85" ht="15.75" customHeight="1" s="46">
      <c r="A85" s="2" t="n"/>
      <c r="B85" s="2" t="n"/>
      <c r="C85" s="2" t="n"/>
      <c r="D85" s="2" t="n"/>
      <c r="E85" s="2" t="n"/>
      <c r="F85" s="2" t="n"/>
      <c r="G85" s="2" t="n"/>
      <c r="H85" s="2" t="n"/>
      <c r="I85" s="2" t="n"/>
      <c r="J85" s="2" t="n"/>
      <c r="K85" s="2" t="n"/>
      <c r="L85" s="2" t="n"/>
    </row>
    <row r="86" ht="15.75" customHeight="1" s="46">
      <c r="A86" s="2" t="n"/>
      <c r="B86" s="2" t="n"/>
      <c r="C86" s="2" t="n"/>
      <c r="D86" s="2" t="n"/>
      <c r="E86" s="2" t="n"/>
      <c r="F86" s="2" t="n"/>
      <c r="G86" s="2" t="n"/>
      <c r="H86" s="2" t="n"/>
      <c r="I86" s="2" t="n"/>
      <c r="J86" s="2" t="n"/>
      <c r="K86" s="2" t="n"/>
      <c r="L86" s="2" t="n"/>
    </row>
    <row r="87" ht="15.75" customHeight="1" s="46">
      <c r="A87" s="2" t="n"/>
      <c r="B87" s="2" t="n"/>
      <c r="C87" s="2" t="n"/>
      <c r="D87" s="2" t="n"/>
      <c r="E87" s="2" t="n"/>
      <c r="F87" s="2" t="n"/>
      <c r="G87" s="2" t="n"/>
      <c r="H87" s="2" t="n"/>
      <c r="I87" s="2" t="n"/>
      <c r="J87" s="2" t="n"/>
      <c r="K87" s="2" t="n"/>
      <c r="L87" s="2" t="n"/>
    </row>
    <row r="88" ht="15.75" customHeight="1" s="46">
      <c r="A88" s="2" t="n"/>
      <c r="B88" s="2" t="n"/>
      <c r="C88" s="2" t="n"/>
      <c r="D88" s="2" t="n"/>
      <c r="E88" s="2" t="n"/>
      <c r="F88" s="2" t="n"/>
      <c r="G88" s="2" t="n"/>
      <c r="H88" s="2" t="n"/>
      <c r="I88" s="2" t="n"/>
      <c r="J88" s="2" t="n"/>
      <c r="K88" s="2" t="n"/>
      <c r="L88" s="2" t="n"/>
    </row>
    <row r="89" ht="15.75" customHeight="1" s="46">
      <c r="A89" s="2" t="n"/>
      <c r="B89" s="2" t="n"/>
      <c r="C89" s="2" t="n"/>
      <c r="D89" s="2" t="n"/>
      <c r="E89" s="2" t="n"/>
      <c r="F89" s="2" t="n"/>
      <c r="G89" s="2" t="n"/>
      <c r="H89" s="2" t="n"/>
      <c r="I89" s="2" t="n"/>
      <c r="J89" s="2" t="n"/>
      <c r="K89" s="2" t="n"/>
      <c r="L89" s="2" t="n"/>
    </row>
    <row r="90" ht="15.75" customHeight="1" s="46">
      <c r="A90" s="2" t="n"/>
      <c r="B90" s="2" t="n"/>
      <c r="C90" s="2" t="n"/>
      <c r="D90" s="2" t="n"/>
      <c r="E90" s="2" t="n"/>
      <c r="F90" s="2" t="n"/>
      <c r="G90" s="2" t="n"/>
      <c r="H90" s="2" t="n"/>
      <c r="I90" s="2" t="n"/>
      <c r="J90" s="2" t="n"/>
      <c r="K90" s="2" t="n"/>
      <c r="L90" s="2" t="n"/>
    </row>
    <row r="91" ht="15.75" customHeight="1" s="46">
      <c r="A91" s="2" t="n"/>
      <c r="B91" s="2" t="n"/>
      <c r="C91" s="2" t="n"/>
      <c r="D91" s="2" t="n"/>
      <c r="E91" s="2" t="n"/>
      <c r="F91" s="2" t="n"/>
      <c r="G91" s="2" t="n"/>
      <c r="H91" s="2" t="n"/>
      <c r="I91" s="2" t="n"/>
      <c r="J91" s="2" t="n"/>
      <c r="K91" s="2" t="n"/>
      <c r="L91" s="2" t="n"/>
    </row>
    <row r="92" ht="15.75" customHeight="1" s="46">
      <c r="A92" s="2" t="n"/>
      <c r="B92" s="2" t="n"/>
      <c r="C92" s="2" t="n"/>
      <c r="D92" s="2" t="n"/>
      <c r="E92" s="2" t="n"/>
      <c r="F92" s="2" t="n"/>
      <c r="G92" s="2" t="n"/>
      <c r="H92" s="2" t="n"/>
      <c r="I92" s="2" t="n"/>
      <c r="J92" s="2" t="n"/>
      <c r="K92" s="2" t="n"/>
      <c r="L92" s="2" t="n"/>
    </row>
    <row r="93" ht="15.75" customHeight="1" s="46">
      <c r="A93" s="2" t="n"/>
      <c r="B93" s="2" t="n"/>
      <c r="C93" s="2" t="n"/>
      <c r="D93" s="2" t="n"/>
      <c r="E93" s="2" t="n"/>
      <c r="F93" s="2" t="n"/>
      <c r="G93" s="2" t="n"/>
      <c r="H93" s="2" t="n"/>
      <c r="I93" s="2" t="n"/>
      <c r="J93" s="2" t="n"/>
      <c r="K93" s="2" t="n"/>
      <c r="L93" s="2" t="n"/>
    </row>
    <row r="94" ht="15.75" customHeight="1" s="46">
      <c r="A94" s="2" t="n"/>
      <c r="B94" s="2" t="n"/>
      <c r="C94" s="2" t="n"/>
      <c r="D94" s="2" t="n"/>
      <c r="E94" s="2" t="n"/>
      <c r="F94" s="2" t="n"/>
      <c r="G94" s="2" t="n"/>
      <c r="H94" s="2" t="n"/>
      <c r="I94" s="2" t="n"/>
      <c r="J94" s="2" t="n"/>
      <c r="K94" s="2" t="n"/>
      <c r="L94" s="2" t="n"/>
    </row>
    <row r="95" ht="15.75" customHeight="1" s="46">
      <c r="A95" s="2" t="n"/>
      <c r="B95" s="2" t="n"/>
      <c r="C95" s="2" t="n"/>
      <c r="D95" s="2" t="n"/>
      <c r="E95" s="2" t="n"/>
      <c r="F95" s="2" t="n"/>
      <c r="G95" s="2" t="n"/>
      <c r="H95" s="2" t="n"/>
      <c r="I95" s="2" t="n"/>
      <c r="J95" s="2" t="n"/>
      <c r="K95" s="2" t="n"/>
      <c r="L95" s="2" t="n"/>
    </row>
    <row r="96" ht="15.75" customHeight="1" s="46">
      <c r="A96" s="2" t="n"/>
      <c r="B96" s="2" t="n"/>
      <c r="C96" s="2" t="n"/>
      <c r="D96" s="2" t="n"/>
      <c r="E96" s="2" t="n"/>
      <c r="F96" s="2" t="n"/>
      <c r="G96" s="2" t="n"/>
      <c r="H96" s="2" t="n"/>
      <c r="I96" s="2" t="n"/>
      <c r="J96" s="2" t="n"/>
      <c r="K96" s="2" t="n"/>
      <c r="L96" s="2" t="n"/>
    </row>
    <row r="97" ht="15.75" customHeight="1" s="46">
      <c r="A97" s="2" t="n"/>
      <c r="B97" s="2" t="n"/>
      <c r="C97" s="2" t="n"/>
      <c r="D97" s="2" t="n"/>
      <c r="E97" s="2" t="n"/>
      <c r="F97" s="2" t="n"/>
      <c r="G97" s="2" t="n"/>
      <c r="H97" s="2" t="n"/>
      <c r="I97" s="2" t="n"/>
      <c r="J97" s="2" t="n"/>
      <c r="K97" s="2" t="n"/>
      <c r="L97" s="2" t="n"/>
    </row>
    <row r="98" ht="15.75" customHeight="1" s="46">
      <c r="A98" s="2" t="n"/>
      <c r="B98" s="2" t="n"/>
      <c r="C98" s="2" t="n"/>
      <c r="D98" s="2" t="n"/>
      <c r="E98" s="2" t="n"/>
      <c r="F98" s="2" t="n"/>
      <c r="G98" s="2" t="n"/>
      <c r="H98" s="2" t="n"/>
      <c r="I98" s="2" t="n"/>
      <c r="J98" s="2" t="n"/>
      <c r="K98" s="2" t="n"/>
      <c r="L98" s="2" t="n"/>
    </row>
    <row r="99" ht="15.75" customHeight="1" s="46">
      <c r="A99" s="2" t="n"/>
      <c r="B99" s="2" t="n"/>
      <c r="C99" s="2" t="n"/>
      <c r="D99" s="2" t="n"/>
      <c r="E99" s="2" t="n"/>
      <c r="F99" s="2" t="n"/>
      <c r="G99" s="2" t="n"/>
      <c r="H99" s="2" t="n"/>
      <c r="I99" s="2" t="n"/>
      <c r="J99" s="2" t="n"/>
      <c r="K99" s="2" t="n"/>
      <c r="L99" s="2" t="n"/>
    </row>
    <row r="100" ht="15.75" customHeight="1" s="46">
      <c r="A100" s="2" t="n"/>
      <c r="B100" s="2" t="n"/>
      <c r="C100" s="2" t="n"/>
      <c r="D100" s="2" t="n"/>
      <c r="E100" s="2" t="n"/>
      <c r="F100" s="2" t="n"/>
      <c r="G100" s="2" t="n"/>
      <c r="H100" s="2" t="n"/>
      <c r="I100" s="2" t="n"/>
      <c r="J100" s="2" t="n"/>
      <c r="K100" s="2" t="n"/>
      <c r="L100" s="2" t="n"/>
    </row>
    <row r="101" ht="15.75" customHeight="1" s="46">
      <c r="A101" s="2" t="n"/>
      <c r="B101" s="2" t="n"/>
      <c r="C101" s="2" t="n"/>
      <c r="D101" s="2" t="n"/>
      <c r="E101" s="2" t="n"/>
      <c r="F101" s="2" t="n"/>
      <c r="G101" s="2" t="n"/>
      <c r="H101" s="2" t="n"/>
      <c r="I101" s="2" t="n"/>
      <c r="J101" s="2" t="n"/>
      <c r="K101" s="2" t="n"/>
      <c r="L101" s="2" t="n"/>
    </row>
    <row r="102" ht="15.75" customHeight="1" s="46">
      <c r="A102" s="2" t="n"/>
      <c r="B102" s="2" t="n"/>
      <c r="C102" s="2" t="n"/>
      <c r="D102" s="2" t="n"/>
      <c r="E102" s="2" t="n"/>
      <c r="F102" s="2" t="n"/>
      <c r="G102" s="2" t="n"/>
      <c r="H102" s="2" t="n"/>
      <c r="I102" s="2" t="n"/>
      <c r="J102" s="2" t="n"/>
      <c r="K102" s="2" t="n"/>
      <c r="L102" s="2" t="n"/>
    </row>
    <row r="103" ht="15.75" customHeight="1" s="46">
      <c r="A103" s="2" t="n"/>
      <c r="B103" s="2" t="n"/>
      <c r="C103" s="2" t="n"/>
      <c r="D103" s="2" t="n"/>
      <c r="E103" s="2" t="n"/>
      <c r="F103" s="2" t="n"/>
      <c r="G103" s="2" t="n"/>
      <c r="H103" s="2" t="n"/>
      <c r="I103" s="2" t="n"/>
      <c r="J103" s="2" t="n"/>
      <c r="K103" s="2" t="n"/>
      <c r="L103" s="2" t="n"/>
    </row>
    <row r="104" ht="15.75" customHeight="1" s="46">
      <c r="A104" s="2" t="n"/>
      <c r="B104" s="2" t="n"/>
      <c r="C104" s="2" t="n"/>
      <c r="D104" s="2" t="n"/>
      <c r="E104" s="2" t="n"/>
      <c r="F104" s="2" t="n"/>
      <c r="G104" s="2" t="n"/>
      <c r="H104" s="2" t="n"/>
      <c r="I104" s="2" t="n"/>
      <c r="J104" s="2" t="n"/>
      <c r="K104" s="2" t="n"/>
      <c r="L104" s="2" t="n"/>
    </row>
    <row r="105" ht="15.75" customHeight="1" s="46">
      <c r="A105" s="2" t="n"/>
      <c r="B105" s="2" t="n"/>
      <c r="C105" s="2" t="n"/>
      <c r="D105" s="2" t="n"/>
      <c r="E105" s="2" t="n"/>
      <c r="F105" s="2" t="n"/>
      <c r="G105" s="2" t="n"/>
      <c r="H105" s="2" t="n"/>
      <c r="I105" s="2" t="n"/>
      <c r="J105" s="2" t="n"/>
      <c r="K105" s="2" t="n"/>
      <c r="L105" s="2" t="n"/>
    </row>
    <row r="106" ht="15.75" customHeight="1" s="46">
      <c r="A106" s="2" t="n"/>
      <c r="B106" s="2" t="n"/>
      <c r="C106" s="2" t="n"/>
      <c r="D106" s="2" t="n"/>
      <c r="E106" s="2" t="n"/>
      <c r="F106" s="2" t="n"/>
      <c r="G106" s="2" t="n"/>
      <c r="H106" s="2" t="n"/>
      <c r="I106" s="2" t="n"/>
      <c r="J106" s="2" t="n"/>
      <c r="K106" s="2" t="n"/>
      <c r="L106" s="2" t="n"/>
    </row>
    <row r="107" ht="15.75" customHeight="1" s="46">
      <c r="A107" s="2" t="n"/>
      <c r="B107" s="2" t="n"/>
      <c r="C107" s="2" t="n"/>
      <c r="D107" s="2" t="n"/>
      <c r="E107" s="2" t="n"/>
      <c r="F107" s="2" t="n"/>
      <c r="G107" s="2" t="n"/>
      <c r="H107" s="2" t="n"/>
      <c r="I107" s="2" t="n"/>
      <c r="J107" s="2" t="n"/>
      <c r="K107" s="2" t="n"/>
      <c r="L107" s="2" t="n"/>
    </row>
    <row r="108" ht="15.75" customHeight="1" s="46">
      <c r="A108" s="2" t="n"/>
      <c r="B108" s="2" t="n"/>
      <c r="C108" s="2" t="n"/>
      <c r="D108" s="2" t="n"/>
      <c r="E108" s="2" t="n"/>
      <c r="F108" s="2" t="n"/>
      <c r="G108" s="2" t="n"/>
      <c r="H108" s="2" t="n"/>
      <c r="I108" s="2" t="n"/>
      <c r="J108" s="2" t="n"/>
      <c r="K108" s="2" t="n"/>
      <c r="L108" s="2" t="n"/>
    </row>
    <row r="109" ht="15.75" customHeight="1" s="46">
      <c r="A109" s="2" t="n"/>
      <c r="B109" s="2" t="n"/>
      <c r="C109" s="2" t="n"/>
      <c r="D109" s="2" t="n"/>
      <c r="E109" s="2" t="n"/>
      <c r="F109" s="2" t="n"/>
      <c r="G109" s="2" t="n"/>
      <c r="H109" s="2" t="n"/>
      <c r="I109" s="2" t="n"/>
      <c r="J109" s="2" t="n"/>
      <c r="K109" s="2" t="n"/>
      <c r="L109" s="2" t="n"/>
    </row>
    <row r="110" ht="15.75" customHeight="1" s="46">
      <c r="A110" s="2" t="n"/>
      <c r="B110" s="2" t="n"/>
      <c r="C110" s="2" t="n"/>
      <c r="D110" s="2" t="n"/>
      <c r="E110" s="2" t="n"/>
      <c r="F110" s="2" t="n"/>
      <c r="G110" s="2" t="n"/>
      <c r="H110" s="2" t="n"/>
      <c r="I110" s="2" t="n"/>
      <c r="J110" s="2" t="n"/>
      <c r="K110" s="2" t="n"/>
      <c r="L110" s="2" t="n"/>
    </row>
    <row r="111" ht="15.75" customHeight="1" s="46">
      <c r="A111" s="2" t="n"/>
      <c r="B111" s="2" t="n"/>
      <c r="C111" s="2" t="n"/>
      <c r="D111" s="2" t="n"/>
      <c r="E111" s="2" t="n"/>
      <c r="F111" s="2" t="n"/>
      <c r="G111" s="2" t="n"/>
      <c r="H111" s="2" t="n"/>
      <c r="I111" s="2" t="n"/>
      <c r="J111" s="2" t="n"/>
      <c r="K111" s="2" t="n"/>
      <c r="L111" s="2" t="n"/>
    </row>
    <row r="112" ht="15.75" customHeight="1" s="46">
      <c r="A112" s="2" t="n"/>
      <c r="B112" s="2" t="n"/>
      <c r="C112" s="2" t="n"/>
      <c r="D112" s="2" t="n"/>
      <c r="E112" s="2" t="n"/>
      <c r="F112" s="2" t="n"/>
      <c r="G112" s="2" t="n"/>
      <c r="H112" s="2" t="n"/>
      <c r="I112" s="2" t="n"/>
      <c r="J112" s="2" t="n"/>
      <c r="K112" s="2" t="n"/>
      <c r="L112" s="2" t="n"/>
    </row>
    <row r="113" ht="15.75" customHeight="1" s="46">
      <c r="A113" s="2" t="n"/>
      <c r="B113" s="2" t="n"/>
      <c r="C113" s="2" t="n"/>
      <c r="D113" s="2" t="n"/>
      <c r="E113" s="2" t="n"/>
      <c r="F113" s="2" t="n"/>
      <c r="G113" s="2" t="n"/>
      <c r="H113" s="2" t="n"/>
      <c r="I113" s="2" t="n"/>
      <c r="J113" s="2" t="n"/>
      <c r="K113" s="2" t="n"/>
      <c r="L113" s="2" t="n"/>
    </row>
    <row r="114" ht="15.75" customHeight="1" s="46">
      <c r="A114" s="2" t="n"/>
      <c r="B114" s="2" t="n"/>
      <c r="C114" s="2" t="n"/>
      <c r="D114" s="2" t="n"/>
      <c r="E114" s="2" t="n"/>
      <c r="F114" s="2" t="n"/>
      <c r="G114" s="2" t="n"/>
      <c r="H114" s="2" t="n"/>
      <c r="I114" s="2" t="n"/>
      <c r="J114" s="2" t="n"/>
      <c r="K114" s="2" t="n"/>
      <c r="L114" s="2" t="n"/>
    </row>
    <row r="115" ht="15.75" customHeight="1" s="46">
      <c r="A115" s="2" t="n"/>
      <c r="B115" s="2" t="n"/>
      <c r="C115" s="2" t="n"/>
      <c r="D115" s="2" t="n"/>
      <c r="E115" s="2" t="n"/>
      <c r="F115" s="2" t="n"/>
      <c r="G115" s="2" t="n"/>
      <c r="H115" s="2" t="n"/>
      <c r="I115" s="2" t="n"/>
      <c r="J115" s="2" t="n"/>
      <c r="K115" s="2" t="n"/>
      <c r="L115" s="2" t="n"/>
    </row>
    <row r="116" ht="15.75" customHeight="1" s="46">
      <c r="A116" s="2" t="n"/>
      <c r="B116" s="2" t="n"/>
      <c r="C116" s="2" t="n"/>
      <c r="D116" s="2" t="n"/>
      <c r="E116" s="2" t="n"/>
      <c r="F116" s="2" t="n"/>
      <c r="G116" s="2" t="n"/>
      <c r="H116" s="2" t="n"/>
      <c r="I116" s="2" t="n"/>
      <c r="J116" s="2" t="n"/>
      <c r="K116" s="2" t="n"/>
      <c r="L116" s="2" t="n"/>
    </row>
    <row r="117" ht="15.75" customHeight="1" s="46">
      <c r="A117" s="2" t="n"/>
      <c r="B117" s="2" t="n"/>
      <c r="C117" s="2" t="n"/>
      <c r="D117" s="2" t="n"/>
      <c r="E117" s="2" t="n"/>
      <c r="F117" s="2" t="n"/>
      <c r="G117" s="2" t="n"/>
      <c r="H117" s="2" t="n"/>
      <c r="I117" s="2" t="n"/>
      <c r="J117" s="2" t="n"/>
      <c r="K117" s="2" t="n"/>
      <c r="L117" s="2" t="n"/>
    </row>
    <row r="118" ht="15.75" customHeight="1" s="46">
      <c r="A118" s="2" t="n"/>
      <c r="B118" s="2" t="n"/>
      <c r="C118" s="2" t="n"/>
      <c r="D118" s="2" t="n"/>
      <c r="E118" s="2" t="n"/>
      <c r="F118" s="2" t="n"/>
      <c r="G118" s="2" t="n"/>
      <c r="H118" s="2" t="n"/>
      <c r="I118" s="2" t="n"/>
      <c r="J118" s="2" t="n"/>
      <c r="K118" s="2" t="n"/>
      <c r="L118" s="2" t="n"/>
    </row>
    <row r="119" ht="15.75" customHeight="1" s="46">
      <c r="A119" s="2" t="n"/>
      <c r="B119" s="2" t="n"/>
      <c r="C119" s="2" t="n"/>
      <c r="D119" s="2" t="n"/>
      <c r="E119" s="2" t="n"/>
      <c r="F119" s="2" t="n"/>
      <c r="G119" s="2" t="n"/>
      <c r="H119" s="2" t="n"/>
      <c r="I119" s="2" t="n"/>
      <c r="J119" s="2" t="n"/>
      <c r="K119" s="2" t="n"/>
      <c r="L119" s="2" t="n"/>
    </row>
    <row r="120" ht="15.75" customHeight="1" s="46">
      <c r="A120" s="2" t="n"/>
      <c r="B120" s="2" t="n"/>
      <c r="C120" s="2" t="n"/>
      <c r="D120" s="2" t="n"/>
      <c r="E120" s="2" t="n"/>
      <c r="F120" s="2" t="n"/>
      <c r="G120" s="2" t="n"/>
      <c r="H120" s="2" t="n"/>
      <c r="I120" s="2" t="n"/>
      <c r="J120" s="2" t="n"/>
      <c r="K120" s="2" t="n"/>
      <c r="L120" s="2" t="n"/>
    </row>
    <row r="121" ht="15.75" customHeight="1" s="46">
      <c r="A121" s="2" t="n"/>
      <c r="B121" s="2" t="n"/>
      <c r="C121" s="2" t="n"/>
      <c r="D121" s="2" t="n"/>
      <c r="E121" s="2" t="n"/>
      <c r="F121" s="2" t="n"/>
      <c r="G121" s="2" t="n"/>
      <c r="H121" s="2" t="n"/>
      <c r="I121" s="2" t="n"/>
      <c r="J121" s="2" t="n"/>
      <c r="K121" s="2" t="n"/>
      <c r="L121" s="2" t="n"/>
    </row>
    <row r="122" ht="15.75" customHeight="1" s="46">
      <c r="A122" s="2" t="n"/>
      <c r="B122" s="2" t="n"/>
      <c r="C122" s="2" t="n"/>
      <c r="D122" s="2" t="n"/>
      <c r="E122" s="2" t="n"/>
      <c r="F122" s="2" t="n"/>
      <c r="G122" s="2" t="n"/>
      <c r="H122" s="2" t="n"/>
      <c r="I122" s="2" t="n"/>
      <c r="J122" s="2" t="n"/>
      <c r="K122" s="2" t="n"/>
      <c r="L122" s="2" t="n"/>
    </row>
    <row r="123" ht="15.75" customHeight="1" s="46">
      <c r="A123" s="2" t="n"/>
      <c r="B123" s="2" t="n"/>
      <c r="C123" s="2" t="n"/>
      <c r="D123" s="2" t="n"/>
      <c r="E123" s="2" t="n"/>
      <c r="F123" s="2" t="n"/>
      <c r="G123" s="2" t="n"/>
      <c r="H123" s="2" t="n"/>
      <c r="I123" s="2" t="n"/>
      <c r="J123" s="2" t="n"/>
      <c r="K123" s="2" t="n"/>
      <c r="L123" s="2" t="n"/>
    </row>
    <row r="124" ht="15.75" customHeight="1" s="46">
      <c r="A124" s="2" t="n"/>
      <c r="B124" s="2" t="n"/>
      <c r="C124" s="2" t="n"/>
      <c r="D124" s="2" t="n"/>
      <c r="E124" s="2" t="n"/>
      <c r="F124" s="2" t="n"/>
      <c r="G124" s="2" t="n"/>
      <c r="H124" s="2" t="n"/>
      <c r="I124" s="2" t="n"/>
      <c r="J124" s="2" t="n"/>
      <c r="K124" s="2" t="n"/>
      <c r="L124" s="2" t="n"/>
    </row>
    <row r="125" ht="15.75" customHeight="1" s="46">
      <c r="A125" s="2" t="n"/>
      <c r="B125" s="2" t="n"/>
      <c r="C125" s="2" t="n"/>
      <c r="D125" s="2" t="n"/>
      <c r="E125" s="2" t="n"/>
      <c r="F125" s="2" t="n"/>
      <c r="G125" s="2" t="n"/>
      <c r="H125" s="2" t="n"/>
      <c r="I125" s="2" t="n"/>
      <c r="J125" s="2" t="n"/>
      <c r="K125" s="2" t="n"/>
      <c r="L125" s="2" t="n"/>
    </row>
    <row r="126" ht="15.75" customHeight="1" s="46">
      <c r="A126" s="2" t="n"/>
      <c r="B126" s="2" t="n"/>
      <c r="C126" s="2" t="n"/>
      <c r="D126" s="2" t="n"/>
      <c r="E126" s="2" t="n"/>
      <c r="F126" s="2" t="n"/>
      <c r="G126" s="2" t="n"/>
      <c r="H126" s="2" t="n"/>
      <c r="I126" s="2" t="n"/>
      <c r="J126" s="2" t="n"/>
      <c r="K126" s="2" t="n"/>
      <c r="L126" s="2" t="n"/>
    </row>
    <row r="127" ht="15.75" customHeight="1" s="46">
      <c r="A127" s="2" t="n"/>
      <c r="B127" s="2" t="n"/>
      <c r="C127" s="2" t="n"/>
      <c r="D127" s="2" t="n"/>
      <c r="E127" s="2" t="n"/>
      <c r="F127" s="2" t="n"/>
      <c r="G127" s="2" t="n"/>
      <c r="H127" s="2" t="n"/>
      <c r="I127" s="2" t="n"/>
      <c r="J127" s="2" t="n"/>
      <c r="K127" s="2" t="n"/>
      <c r="L127" s="2" t="n"/>
    </row>
    <row r="128" ht="15.75" customHeight="1" s="46">
      <c r="A128" s="2" t="n"/>
      <c r="B128" s="2" t="n"/>
      <c r="C128" s="2" t="n"/>
      <c r="D128" s="2" t="n"/>
      <c r="E128" s="2" t="n"/>
      <c r="F128" s="2" t="n"/>
      <c r="G128" s="2" t="n"/>
      <c r="H128" s="2" t="n"/>
      <c r="I128" s="2" t="n"/>
      <c r="J128" s="2" t="n"/>
      <c r="K128" s="2" t="n"/>
      <c r="L128" s="2" t="n"/>
    </row>
    <row r="129" ht="15.75" customHeight="1" s="46">
      <c r="A129" s="2" t="n"/>
      <c r="B129" s="2" t="n"/>
      <c r="C129" s="2" t="n"/>
      <c r="D129" s="2" t="n"/>
      <c r="E129" s="2" t="n"/>
      <c r="F129" s="2" t="n"/>
      <c r="G129" s="2" t="n"/>
      <c r="H129" s="2" t="n"/>
      <c r="I129" s="2" t="n"/>
      <c r="J129" s="2" t="n"/>
      <c r="K129" s="2" t="n"/>
      <c r="L129" s="2" t="n"/>
    </row>
    <row r="130" ht="15.75" customHeight="1" s="46">
      <c r="A130" s="2" t="n"/>
      <c r="B130" s="2" t="n"/>
      <c r="C130" s="2" t="n"/>
      <c r="D130" s="2" t="n"/>
      <c r="E130" s="2" t="n"/>
      <c r="F130" s="2" t="n"/>
      <c r="G130" s="2" t="n"/>
      <c r="H130" s="2" t="n"/>
      <c r="I130" s="2" t="n"/>
      <c r="J130" s="2" t="n"/>
      <c r="K130" s="2" t="n"/>
      <c r="L130" s="2" t="n"/>
    </row>
    <row r="131" ht="15.75" customHeight="1" s="46">
      <c r="A131" s="2" t="n"/>
      <c r="B131" s="2" t="n"/>
      <c r="C131" s="2" t="n"/>
      <c r="D131" s="2" t="n"/>
      <c r="E131" s="2" t="n"/>
      <c r="F131" s="2" t="n"/>
      <c r="G131" s="2" t="n"/>
      <c r="H131" s="2" t="n"/>
      <c r="I131" s="2" t="n"/>
      <c r="J131" s="2" t="n"/>
      <c r="K131" s="2" t="n"/>
      <c r="L131" s="2" t="n"/>
    </row>
    <row r="132" ht="15.75" customHeight="1" s="46">
      <c r="A132" s="2" t="n"/>
      <c r="B132" s="2" t="n"/>
      <c r="C132" s="2" t="n"/>
      <c r="D132" s="2" t="n"/>
      <c r="E132" s="2" t="n"/>
      <c r="F132" s="2" t="n"/>
      <c r="G132" s="2" t="n"/>
      <c r="H132" s="2" t="n"/>
      <c r="I132" s="2" t="n"/>
      <c r="J132" s="2" t="n"/>
      <c r="K132" s="2" t="n"/>
      <c r="L132" s="2" t="n"/>
    </row>
    <row r="133" ht="15.75" customHeight="1" s="46">
      <c r="A133" s="2" t="n"/>
      <c r="B133" s="2" t="n"/>
      <c r="C133" s="2" t="n"/>
      <c r="D133" s="2" t="n"/>
      <c r="E133" s="2" t="n"/>
      <c r="F133" s="2" t="n"/>
      <c r="G133" s="2" t="n"/>
      <c r="H133" s="2" t="n"/>
      <c r="I133" s="2" t="n"/>
      <c r="J133" s="2" t="n"/>
      <c r="K133" s="2" t="n"/>
      <c r="L133" s="2" t="n"/>
    </row>
    <row r="134" ht="15.75" customHeight="1" s="46">
      <c r="A134" s="2" t="n"/>
      <c r="B134" s="2" t="n"/>
      <c r="C134" s="2" t="n"/>
      <c r="D134" s="2" t="n"/>
      <c r="E134" s="2" t="n"/>
      <c r="F134" s="2" t="n"/>
      <c r="G134" s="2" t="n"/>
      <c r="H134" s="2" t="n"/>
      <c r="I134" s="2" t="n"/>
      <c r="J134" s="2" t="n"/>
      <c r="K134" s="2" t="n"/>
      <c r="L134" s="2" t="n"/>
    </row>
    <row r="135" ht="15.75" customHeight="1" s="46">
      <c r="A135" s="2" t="n"/>
      <c r="B135" s="2" t="n"/>
      <c r="C135" s="2" t="n"/>
      <c r="D135" s="2" t="n"/>
      <c r="E135" s="2" t="n"/>
      <c r="F135" s="2" t="n"/>
      <c r="G135" s="2" t="n"/>
      <c r="H135" s="2" t="n"/>
      <c r="I135" s="2" t="n"/>
      <c r="J135" s="2" t="n"/>
      <c r="K135" s="2" t="n"/>
      <c r="L135" s="2" t="n"/>
    </row>
    <row r="136" ht="15.75" customHeight="1" s="46">
      <c r="A136" s="2" t="n"/>
      <c r="B136" s="2" t="n"/>
      <c r="C136" s="2" t="n"/>
      <c r="D136" s="2" t="n"/>
      <c r="E136" s="2" t="n"/>
      <c r="F136" s="2" t="n"/>
      <c r="G136" s="2" t="n"/>
      <c r="H136" s="2" t="n"/>
      <c r="I136" s="2" t="n"/>
      <c r="J136" s="2" t="n"/>
      <c r="K136" s="2" t="n"/>
      <c r="L136" s="2" t="n"/>
    </row>
    <row r="137" ht="15.75" customHeight="1" s="46">
      <c r="A137" s="2" t="n"/>
      <c r="B137" s="2" t="n"/>
      <c r="C137" s="2" t="n"/>
      <c r="D137" s="2" t="n"/>
      <c r="E137" s="2" t="n"/>
      <c r="F137" s="2" t="n"/>
      <c r="G137" s="2" t="n"/>
      <c r="H137" s="2" t="n"/>
      <c r="I137" s="2" t="n"/>
      <c r="J137" s="2" t="n"/>
      <c r="K137" s="2" t="n"/>
      <c r="L137" s="2" t="n"/>
    </row>
    <row r="138" ht="15.75" customHeight="1" s="46">
      <c r="A138" s="2" t="n"/>
      <c r="B138" s="2" t="n"/>
      <c r="C138" s="2" t="n"/>
      <c r="D138" s="2" t="n"/>
      <c r="E138" s="2" t="n"/>
      <c r="F138" s="2" t="n"/>
      <c r="G138" s="2" t="n"/>
      <c r="H138" s="2" t="n"/>
      <c r="I138" s="2" t="n"/>
      <c r="J138" s="2" t="n"/>
      <c r="K138" s="2" t="n"/>
      <c r="L138" s="2" t="n"/>
    </row>
    <row r="139" ht="15.75" customHeight="1" s="46">
      <c r="A139" s="2" t="n"/>
      <c r="B139" s="2" t="n"/>
      <c r="C139" s="2" t="n"/>
      <c r="D139" s="2" t="n"/>
      <c r="E139" s="2" t="n"/>
      <c r="F139" s="2" t="n"/>
      <c r="G139" s="2" t="n"/>
      <c r="H139" s="2" t="n"/>
      <c r="I139" s="2" t="n"/>
      <c r="J139" s="2" t="n"/>
      <c r="K139" s="2" t="n"/>
      <c r="L139" s="2" t="n"/>
    </row>
    <row r="140" ht="15.75" customHeight="1" s="46">
      <c r="A140" s="2" t="n"/>
      <c r="B140" s="2" t="n"/>
      <c r="C140" s="2" t="n"/>
      <c r="D140" s="2" t="n"/>
      <c r="E140" s="2" t="n"/>
      <c r="F140" s="2" t="n"/>
      <c r="G140" s="2" t="n"/>
      <c r="H140" s="2" t="n"/>
      <c r="I140" s="2" t="n"/>
      <c r="J140" s="2" t="n"/>
      <c r="K140" s="2" t="n"/>
      <c r="L140" s="2" t="n"/>
    </row>
    <row r="141" ht="15.75" customHeight="1" s="46">
      <c r="A141" s="2" t="n"/>
      <c r="B141" s="2" t="n"/>
      <c r="C141" s="2" t="n"/>
      <c r="D141" s="2" t="n"/>
      <c r="E141" s="2" t="n"/>
      <c r="F141" s="2" t="n"/>
      <c r="G141" s="2" t="n"/>
      <c r="H141" s="2" t="n"/>
      <c r="I141" s="2" t="n"/>
      <c r="J141" s="2" t="n"/>
      <c r="K141" s="2" t="n"/>
      <c r="L141" s="2" t="n"/>
    </row>
    <row r="142" ht="15.75" customHeight="1" s="46">
      <c r="A142" s="2" t="n"/>
      <c r="B142" s="2" t="n"/>
      <c r="C142" s="2" t="n"/>
      <c r="D142" s="2" t="n"/>
      <c r="E142" s="2" t="n"/>
      <c r="F142" s="2" t="n"/>
      <c r="G142" s="2" t="n"/>
      <c r="H142" s="2" t="n"/>
      <c r="I142" s="2" t="n"/>
      <c r="J142" s="2" t="n"/>
      <c r="K142" s="2" t="n"/>
      <c r="L142" s="2" t="n"/>
    </row>
    <row r="143" ht="15.75" customHeight="1" s="46">
      <c r="A143" s="2" t="n"/>
      <c r="B143" s="2" t="n"/>
      <c r="C143" s="2" t="n"/>
      <c r="D143" s="2" t="n"/>
      <c r="E143" s="2" t="n"/>
      <c r="F143" s="2" t="n"/>
      <c r="G143" s="2" t="n"/>
      <c r="H143" s="2" t="n"/>
      <c r="I143" s="2" t="n"/>
      <c r="J143" s="2" t="n"/>
      <c r="K143" s="2" t="n"/>
      <c r="L143" s="2" t="n"/>
    </row>
    <row r="144" ht="15.75" customHeight="1" s="46">
      <c r="A144" s="2" t="n"/>
      <c r="B144" s="2" t="n"/>
      <c r="C144" s="2" t="n"/>
      <c r="D144" s="2" t="n"/>
      <c r="E144" s="2" t="n"/>
      <c r="F144" s="2" t="n"/>
      <c r="G144" s="2" t="n"/>
      <c r="H144" s="2" t="n"/>
      <c r="I144" s="2" t="n"/>
      <c r="J144" s="2" t="n"/>
      <c r="K144" s="2" t="n"/>
      <c r="L144" s="2" t="n"/>
    </row>
    <row r="145" ht="15.75" customHeight="1" s="46">
      <c r="A145" s="2" t="n"/>
      <c r="B145" s="2" t="n"/>
      <c r="C145" s="2" t="n"/>
      <c r="D145" s="2" t="n"/>
      <c r="E145" s="2" t="n"/>
      <c r="F145" s="2" t="n"/>
      <c r="G145" s="2" t="n"/>
      <c r="H145" s="2" t="n"/>
      <c r="I145" s="2" t="n"/>
      <c r="J145" s="2" t="n"/>
      <c r="K145" s="2" t="n"/>
      <c r="L145" s="2" t="n"/>
    </row>
    <row r="146" ht="15.75" customHeight="1" s="46">
      <c r="A146" s="2" t="n"/>
      <c r="B146" s="2" t="n"/>
      <c r="C146" s="2" t="n"/>
      <c r="D146" s="2" t="n"/>
      <c r="E146" s="2" t="n"/>
      <c r="F146" s="2" t="n"/>
      <c r="G146" s="2" t="n"/>
      <c r="H146" s="2" t="n"/>
      <c r="I146" s="2" t="n"/>
      <c r="J146" s="2" t="n"/>
      <c r="K146" s="2" t="n"/>
      <c r="L146" s="2" t="n"/>
    </row>
    <row r="147" ht="15.75" customHeight="1" s="46">
      <c r="A147" s="2" t="n"/>
      <c r="B147" s="2" t="n"/>
      <c r="C147" s="2" t="n"/>
      <c r="D147" s="2" t="n"/>
      <c r="E147" s="2" t="n"/>
      <c r="F147" s="2" t="n"/>
      <c r="G147" s="2" t="n"/>
      <c r="H147" s="2" t="n"/>
      <c r="I147" s="2" t="n"/>
      <c r="J147" s="2" t="n"/>
      <c r="K147" s="2" t="n"/>
      <c r="L147" s="2" t="n"/>
    </row>
    <row r="148" ht="15.75" customHeight="1" s="46">
      <c r="A148" s="2" t="n"/>
      <c r="B148" s="2" t="n"/>
      <c r="C148" s="2" t="n"/>
      <c r="D148" s="2" t="n"/>
      <c r="E148" s="2" t="n"/>
      <c r="F148" s="2" t="n"/>
      <c r="G148" s="2" t="n"/>
      <c r="H148" s="2" t="n"/>
      <c r="I148" s="2" t="n"/>
      <c r="J148" s="2" t="n"/>
      <c r="K148" s="2" t="n"/>
      <c r="L148" s="2" t="n"/>
    </row>
    <row r="149" ht="15.75" customHeight="1" s="46">
      <c r="A149" s="2" t="n"/>
      <c r="B149" s="2" t="n"/>
      <c r="C149" s="2" t="n"/>
      <c r="D149" s="2" t="n"/>
      <c r="E149" s="2" t="n"/>
      <c r="F149" s="2" t="n"/>
      <c r="G149" s="2" t="n"/>
      <c r="H149" s="2" t="n"/>
      <c r="I149" s="2" t="n"/>
      <c r="J149" s="2" t="n"/>
      <c r="K149" s="2" t="n"/>
      <c r="L149" s="2" t="n"/>
    </row>
    <row r="150" ht="15.75" customHeight="1" s="46">
      <c r="A150" s="2" t="n"/>
      <c r="B150" s="2" t="n"/>
      <c r="C150" s="2" t="n"/>
      <c r="D150" s="2" t="n"/>
      <c r="E150" s="2" t="n"/>
      <c r="F150" s="2" t="n"/>
      <c r="G150" s="2" t="n"/>
      <c r="H150" s="2" t="n"/>
      <c r="I150" s="2" t="n"/>
      <c r="J150" s="2" t="n"/>
      <c r="K150" s="2" t="n"/>
      <c r="L150" s="2" t="n"/>
    </row>
    <row r="151" ht="15.75" customHeight="1" s="46">
      <c r="A151" s="2" t="n"/>
      <c r="B151" s="2" t="n"/>
      <c r="C151" s="2" t="n"/>
      <c r="D151" s="2" t="n"/>
      <c r="E151" s="2" t="n"/>
      <c r="F151" s="2" t="n"/>
      <c r="G151" s="2" t="n"/>
      <c r="H151" s="2" t="n"/>
      <c r="I151" s="2" t="n"/>
      <c r="J151" s="2" t="n"/>
      <c r="K151" s="2" t="n"/>
      <c r="L151" s="2" t="n"/>
    </row>
    <row r="152" ht="15.75" customHeight="1" s="46">
      <c r="A152" s="2" t="n"/>
      <c r="B152" s="2" t="n"/>
      <c r="C152" s="2" t="n"/>
      <c r="D152" s="2" t="n"/>
      <c r="E152" s="2" t="n"/>
      <c r="F152" s="2" t="n"/>
      <c r="G152" s="2" t="n"/>
      <c r="H152" s="2" t="n"/>
      <c r="I152" s="2" t="n"/>
      <c r="J152" s="2" t="n"/>
      <c r="K152" s="2" t="n"/>
      <c r="L152" s="2" t="n"/>
    </row>
    <row r="153" ht="15.75" customHeight="1" s="46">
      <c r="A153" s="2" t="n"/>
      <c r="B153" s="2" t="n"/>
      <c r="C153" s="2" t="n"/>
      <c r="D153" s="2" t="n"/>
      <c r="E153" s="2" t="n"/>
      <c r="F153" s="2" t="n"/>
      <c r="G153" s="2" t="n"/>
      <c r="H153" s="2" t="n"/>
      <c r="I153" s="2" t="n"/>
      <c r="J153" s="2" t="n"/>
      <c r="K153" s="2" t="n"/>
      <c r="L153" s="2" t="n"/>
    </row>
    <row r="154" ht="15.75" customHeight="1" s="46">
      <c r="A154" s="2" t="n"/>
      <c r="B154" s="2" t="n"/>
      <c r="C154" s="2" t="n"/>
      <c r="D154" s="2" t="n"/>
      <c r="E154" s="2" t="n"/>
      <c r="F154" s="2" t="n"/>
      <c r="G154" s="2" t="n"/>
      <c r="H154" s="2" t="n"/>
      <c r="I154" s="2" t="n"/>
      <c r="J154" s="2" t="n"/>
      <c r="K154" s="2" t="n"/>
      <c r="L154" s="2" t="n"/>
    </row>
    <row r="155" ht="15.75" customHeight="1" s="46">
      <c r="A155" s="2" t="n"/>
      <c r="B155" s="2" t="n"/>
      <c r="C155" s="2" t="n"/>
      <c r="D155" s="2" t="n"/>
      <c r="E155" s="2" t="n"/>
      <c r="F155" s="2" t="n"/>
      <c r="G155" s="2" t="n"/>
      <c r="H155" s="2" t="n"/>
      <c r="I155" s="2" t="n"/>
      <c r="J155" s="2" t="n"/>
      <c r="K155" s="2" t="n"/>
      <c r="L155" s="2" t="n"/>
    </row>
    <row r="156" ht="15.75" customHeight="1" s="46">
      <c r="A156" s="2" t="n"/>
      <c r="B156" s="2" t="n"/>
      <c r="C156" s="2" t="n"/>
      <c r="D156" s="2" t="n"/>
      <c r="E156" s="2" t="n"/>
      <c r="F156" s="2" t="n"/>
      <c r="G156" s="2" t="n"/>
      <c r="H156" s="2" t="n"/>
      <c r="I156" s="2" t="n"/>
      <c r="J156" s="2" t="n"/>
      <c r="K156" s="2" t="n"/>
      <c r="L156" s="2" t="n"/>
    </row>
    <row r="157" ht="15.75" customHeight="1" s="46">
      <c r="A157" s="2" t="n"/>
      <c r="B157" s="2" t="n"/>
      <c r="C157" s="2" t="n"/>
      <c r="D157" s="2" t="n"/>
      <c r="E157" s="2" t="n"/>
      <c r="F157" s="2" t="n"/>
      <c r="G157" s="2" t="n"/>
      <c r="H157" s="2" t="n"/>
      <c r="I157" s="2" t="n"/>
      <c r="J157" s="2" t="n"/>
      <c r="K157" s="2" t="n"/>
      <c r="L157" s="2" t="n"/>
    </row>
    <row r="158" ht="15.75" customHeight="1" s="46">
      <c r="A158" s="2" t="n"/>
      <c r="B158" s="2" t="n"/>
      <c r="C158" s="2" t="n"/>
      <c r="D158" s="2" t="n"/>
      <c r="E158" s="2" t="n"/>
      <c r="F158" s="2" t="n"/>
      <c r="G158" s="2" t="n"/>
      <c r="H158" s="2" t="n"/>
      <c r="I158" s="2" t="n"/>
      <c r="J158" s="2" t="n"/>
      <c r="K158" s="2" t="n"/>
      <c r="L158" s="2" t="n"/>
    </row>
    <row r="159" ht="15.75" customHeight="1" s="46">
      <c r="A159" s="2" t="n"/>
      <c r="B159" s="2" t="n"/>
      <c r="C159" s="2" t="n"/>
      <c r="D159" s="2" t="n"/>
      <c r="E159" s="2" t="n"/>
      <c r="F159" s="2" t="n"/>
      <c r="G159" s="2" t="n"/>
      <c r="H159" s="2" t="n"/>
      <c r="I159" s="2" t="n"/>
      <c r="J159" s="2" t="n"/>
      <c r="K159" s="2" t="n"/>
      <c r="L159" s="2" t="n"/>
    </row>
    <row r="160" ht="15.75" customHeight="1" s="46">
      <c r="A160" s="2" t="n"/>
      <c r="B160" s="2" t="n"/>
      <c r="C160" s="2" t="n"/>
      <c r="D160" s="2" t="n"/>
      <c r="E160" s="2" t="n"/>
      <c r="F160" s="2" t="n"/>
      <c r="G160" s="2" t="n"/>
      <c r="H160" s="2" t="n"/>
      <c r="I160" s="2" t="n"/>
      <c r="J160" s="2" t="n"/>
      <c r="K160" s="2" t="n"/>
      <c r="L160" s="2" t="n"/>
    </row>
    <row r="161" ht="15.75" customHeight="1" s="46">
      <c r="A161" s="2" t="n"/>
      <c r="B161" s="2" t="n"/>
      <c r="C161" s="2" t="n"/>
      <c r="D161" s="2" t="n"/>
      <c r="E161" s="2" t="n"/>
      <c r="F161" s="2" t="n"/>
      <c r="G161" s="2" t="n"/>
      <c r="H161" s="2" t="n"/>
      <c r="I161" s="2" t="n"/>
      <c r="J161" s="2" t="n"/>
      <c r="K161" s="2" t="n"/>
      <c r="L161" s="2" t="n"/>
    </row>
    <row r="162" ht="15.75" customHeight="1" s="46">
      <c r="A162" s="2" t="n"/>
      <c r="B162" s="2" t="n"/>
      <c r="C162" s="2" t="n"/>
      <c r="D162" s="2" t="n"/>
      <c r="E162" s="2" t="n"/>
      <c r="F162" s="2" t="n"/>
      <c r="G162" s="2" t="n"/>
      <c r="H162" s="2" t="n"/>
      <c r="I162" s="2" t="n"/>
      <c r="J162" s="2" t="n"/>
      <c r="K162" s="2" t="n"/>
      <c r="L162" s="2" t="n"/>
    </row>
    <row r="163" ht="15.75" customHeight="1" s="46">
      <c r="A163" s="2" t="n"/>
      <c r="B163" s="2" t="n"/>
      <c r="C163" s="2" t="n"/>
      <c r="D163" s="2" t="n"/>
      <c r="E163" s="2" t="n"/>
      <c r="F163" s="2" t="n"/>
      <c r="G163" s="2" t="n"/>
      <c r="H163" s="2" t="n"/>
      <c r="I163" s="2" t="n"/>
      <c r="J163" s="2" t="n"/>
      <c r="K163" s="2" t="n"/>
      <c r="L163" s="2" t="n"/>
    </row>
    <row r="164" ht="15.75" customHeight="1" s="46">
      <c r="A164" s="2" t="n"/>
      <c r="B164" s="2" t="n"/>
      <c r="C164" s="2" t="n"/>
      <c r="D164" s="2" t="n"/>
      <c r="E164" s="2" t="n"/>
      <c r="F164" s="2" t="n"/>
      <c r="G164" s="2" t="n"/>
      <c r="H164" s="2" t="n"/>
      <c r="I164" s="2" t="n"/>
      <c r="J164" s="2" t="n"/>
      <c r="K164" s="2" t="n"/>
      <c r="L164" s="2" t="n"/>
    </row>
    <row r="165" ht="15.75" customHeight="1" s="46">
      <c r="A165" s="2" t="n"/>
      <c r="B165" s="2" t="n"/>
      <c r="C165" s="2" t="n"/>
      <c r="D165" s="2" t="n"/>
      <c r="E165" s="2" t="n"/>
      <c r="F165" s="2" t="n"/>
      <c r="G165" s="2" t="n"/>
      <c r="H165" s="2" t="n"/>
      <c r="I165" s="2" t="n"/>
      <c r="J165" s="2" t="n"/>
      <c r="K165" s="2" t="n"/>
      <c r="L165" s="2" t="n"/>
    </row>
    <row r="166" ht="15.75" customHeight="1" s="46">
      <c r="A166" s="2" t="n"/>
      <c r="B166" s="2" t="n"/>
      <c r="C166" s="2" t="n"/>
      <c r="D166" s="2" t="n"/>
      <c r="E166" s="2" t="n"/>
      <c r="F166" s="2" t="n"/>
      <c r="G166" s="2" t="n"/>
      <c r="H166" s="2" t="n"/>
      <c r="I166" s="2" t="n"/>
      <c r="J166" s="2" t="n"/>
      <c r="K166" s="2" t="n"/>
      <c r="L166" s="2" t="n"/>
    </row>
    <row r="167" ht="15.75" customHeight="1" s="46">
      <c r="A167" s="2" t="n"/>
      <c r="B167" s="2" t="n"/>
      <c r="C167" s="2" t="n"/>
      <c r="D167" s="2" t="n"/>
      <c r="E167" s="2" t="n"/>
      <c r="F167" s="2" t="n"/>
      <c r="G167" s="2" t="n"/>
      <c r="H167" s="2" t="n"/>
      <c r="I167" s="2" t="n"/>
      <c r="J167" s="2" t="n"/>
      <c r="K167" s="2" t="n"/>
      <c r="L167" s="2" t="n"/>
    </row>
    <row r="168" ht="15.75" customHeight="1" s="46">
      <c r="A168" s="2" t="n"/>
      <c r="B168" s="2" t="n"/>
      <c r="C168" s="2" t="n"/>
      <c r="D168" s="2" t="n"/>
      <c r="E168" s="2" t="n"/>
      <c r="F168" s="2" t="n"/>
      <c r="G168" s="2" t="n"/>
      <c r="H168" s="2" t="n"/>
      <c r="I168" s="2" t="n"/>
      <c r="J168" s="2" t="n"/>
      <c r="K168" s="2" t="n"/>
      <c r="L168" s="2" t="n"/>
    </row>
    <row r="169" ht="15.75" customHeight="1" s="46">
      <c r="A169" s="2" t="n"/>
      <c r="B169" s="2" t="n"/>
      <c r="C169" s="2" t="n"/>
      <c r="D169" s="2" t="n"/>
      <c r="E169" s="2" t="n"/>
      <c r="F169" s="2" t="n"/>
      <c r="G169" s="2" t="n"/>
      <c r="H169" s="2" t="n"/>
      <c r="I169" s="2" t="n"/>
      <c r="J169" s="2" t="n"/>
      <c r="K169" s="2" t="n"/>
      <c r="L169" s="2" t="n"/>
    </row>
    <row r="170" ht="15.75" customHeight="1" s="46">
      <c r="A170" s="2" t="n"/>
      <c r="B170" s="2" t="n"/>
      <c r="C170" s="2" t="n"/>
      <c r="D170" s="2" t="n"/>
      <c r="E170" s="2" t="n"/>
      <c r="F170" s="2" t="n"/>
      <c r="G170" s="2" t="n"/>
      <c r="H170" s="2" t="n"/>
      <c r="I170" s="2" t="n"/>
      <c r="J170" s="2" t="n"/>
      <c r="K170" s="2" t="n"/>
      <c r="L170" s="2" t="n"/>
    </row>
    <row r="171" ht="15.75" customHeight="1" s="46">
      <c r="A171" s="2" t="n"/>
      <c r="B171" s="2" t="n"/>
      <c r="C171" s="2" t="n"/>
      <c r="D171" s="2" t="n"/>
      <c r="E171" s="2" t="n"/>
      <c r="F171" s="2" t="n"/>
      <c r="G171" s="2" t="n"/>
      <c r="H171" s="2" t="n"/>
      <c r="I171" s="2" t="n"/>
      <c r="J171" s="2" t="n"/>
      <c r="K171" s="2" t="n"/>
      <c r="L171" s="2" t="n"/>
    </row>
    <row r="172" ht="15.75" customHeight="1" s="46">
      <c r="A172" s="2" t="n"/>
      <c r="B172" s="2" t="n"/>
      <c r="C172" s="2" t="n"/>
      <c r="D172" s="2" t="n"/>
      <c r="E172" s="2" t="n"/>
      <c r="F172" s="2" t="n"/>
      <c r="G172" s="2" t="n"/>
      <c r="H172" s="2" t="n"/>
      <c r="I172" s="2" t="n"/>
      <c r="J172" s="2" t="n"/>
      <c r="K172" s="2" t="n"/>
      <c r="L172" s="2" t="n"/>
    </row>
    <row r="173" ht="15.75" customHeight="1" s="46">
      <c r="A173" s="2" t="n"/>
      <c r="B173" s="2" t="n"/>
      <c r="C173" s="2" t="n"/>
      <c r="D173" s="2" t="n"/>
      <c r="E173" s="2" t="n"/>
      <c r="F173" s="2" t="n"/>
      <c r="G173" s="2" t="n"/>
      <c r="H173" s="2" t="n"/>
      <c r="I173" s="2" t="n"/>
      <c r="J173" s="2" t="n"/>
      <c r="K173" s="2" t="n"/>
      <c r="L173" s="2" t="n"/>
    </row>
    <row r="174" ht="15.75" customHeight="1" s="46">
      <c r="A174" s="2" t="n"/>
      <c r="B174" s="2" t="n"/>
      <c r="C174" s="2" t="n"/>
      <c r="D174" s="2" t="n"/>
      <c r="E174" s="2" t="n"/>
      <c r="F174" s="2" t="n"/>
      <c r="G174" s="2" t="n"/>
      <c r="H174" s="2" t="n"/>
      <c r="I174" s="2" t="n"/>
      <c r="J174" s="2" t="n"/>
      <c r="K174" s="2" t="n"/>
      <c r="L174" s="2" t="n"/>
    </row>
    <row r="175" ht="15.75" customHeight="1" s="46">
      <c r="A175" s="2" t="n"/>
      <c r="B175" s="2" t="n"/>
      <c r="C175" s="2" t="n"/>
      <c r="D175" s="2" t="n"/>
      <c r="E175" s="2" t="n"/>
      <c r="F175" s="2" t="n"/>
      <c r="G175" s="2" t="n"/>
      <c r="H175" s="2" t="n"/>
      <c r="I175" s="2" t="n"/>
      <c r="J175" s="2" t="n"/>
      <c r="K175" s="2" t="n"/>
      <c r="L175" s="2" t="n"/>
    </row>
    <row r="176" ht="15.75" customHeight="1" s="46">
      <c r="A176" s="2" t="n"/>
      <c r="B176" s="2" t="n"/>
      <c r="C176" s="2" t="n"/>
      <c r="D176" s="2" t="n"/>
      <c r="E176" s="2" t="n"/>
      <c r="F176" s="2" t="n"/>
      <c r="G176" s="2" t="n"/>
      <c r="H176" s="2" t="n"/>
      <c r="I176" s="2" t="n"/>
      <c r="J176" s="2" t="n"/>
      <c r="K176" s="2" t="n"/>
      <c r="L176" s="2" t="n"/>
    </row>
    <row r="177" ht="15.75" customHeight="1" s="46">
      <c r="A177" s="2" t="n"/>
      <c r="B177" s="2" t="n"/>
      <c r="C177" s="2" t="n"/>
      <c r="D177" s="2" t="n"/>
      <c r="E177" s="2" t="n"/>
      <c r="F177" s="2" t="n"/>
      <c r="G177" s="2" t="n"/>
      <c r="H177" s="2" t="n"/>
      <c r="I177" s="2" t="n"/>
      <c r="J177" s="2" t="n"/>
      <c r="K177" s="2" t="n"/>
      <c r="L177" s="2" t="n"/>
    </row>
    <row r="178" ht="15.75" customHeight="1" s="46">
      <c r="A178" s="2" t="n"/>
      <c r="B178" s="2" t="n"/>
      <c r="C178" s="2" t="n"/>
      <c r="D178" s="2" t="n"/>
      <c r="E178" s="2" t="n"/>
      <c r="F178" s="2" t="n"/>
      <c r="G178" s="2" t="n"/>
      <c r="H178" s="2" t="n"/>
      <c r="I178" s="2" t="n"/>
      <c r="J178" s="2" t="n"/>
      <c r="K178" s="2" t="n"/>
      <c r="L178" s="2" t="n"/>
    </row>
    <row r="179" ht="15.75" customHeight="1" s="46">
      <c r="A179" s="2" t="n"/>
      <c r="B179" s="2" t="n"/>
      <c r="C179" s="2" t="n"/>
      <c r="D179" s="2" t="n"/>
      <c r="E179" s="2" t="n"/>
      <c r="F179" s="2" t="n"/>
      <c r="G179" s="2" t="n"/>
      <c r="H179" s="2" t="n"/>
      <c r="I179" s="2" t="n"/>
      <c r="J179" s="2" t="n"/>
      <c r="K179" s="2" t="n"/>
      <c r="L179" s="2" t="n"/>
    </row>
    <row r="180" ht="15.75" customHeight="1" s="46">
      <c r="A180" s="2" t="n"/>
      <c r="B180" s="2" t="n"/>
      <c r="C180" s="2" t="n"/>
      <c r="D180" s="2" t="n"/>
      <c r="E180" s="2" t="n"/>
      <c r="F180" s="2" t="n"/>
      <c r="G180" s="2" t="n"/>
      <c r="H180" s="2" t="n"/>
      <c r="I180" s="2" t="n"/>
      <c r="J180" s="2" t="n"/>
      <c r="K180" s="2" t="n"/>
      <c r="L180" s="2" t="n"/>
    </row>
    <row r="181" ht="15.75" customHeight="1" s="46">
      <c r="A181" s="2" t="n"/>
      <c r="B181" s="2" t="n"/>
      <c r="C181" s="2" t="n"/>
      <c r="D181" s="2" t="n"/>
      <c r="E181" s="2" t="n"/>
      <c r="F181" s="2" t="n"/>
      <c r="G181" s="2" t="n"/>
      <c r="H181" s="2" t="n"/>
      <c r="I181" s="2" t="n"/>
      <c r="J181" s="2" t="n"/>
      <c r="K181" s="2" t="n"/>
      <c r="L181" s="2" t="n"/>
    </row>
    <row r="182" ht="15.75" customHeight="1" s="46">
      <c r="A182" s="2" t="n"/>
      <c r="B182" s="2" t="n"/>
      <c r="C182" s="2" t="n"/>
      <c r="D182" s="2" t="n"/>
      <c r="E182" s="2" t="n"/>
      <c r="F182" s="2" t="n"/>
      <c r="G182" s="2" t="n"/>
      <c r="H182" s="2" t="n"/>
      <c r="I182" s="2" t="n"/>
      <c r="J182" s="2" t="n"/>
      <c r="K182" s="2" t="n"/>
      <c r="L182" s="2" t="n"/>
    </row>
    <row r="183" ht="15.75" customHeight="1" s="46">
      <c r="A183" s="2" t="n"/>
      <c r="B183" s="2" t="n"/>
      <c r="C183" s="2" t="n"/>
      <c r="D183" s="2" t="n"/>
      <c r="E183" s="2" t="n"/>
      <c r="F183" s="2" t="n"/>
      <c r="G183" s="2" t="n"/>
      <c r="H183" s="2" t="n"/>
      <c r="I183" s="2" t="n"/>
      <c r="J183" s="2" t="n"/>
      <c r="K183" s="2" t="n"/>
      <c r="L183" s="2" t="n"/>
    </row>
    <row r="184" ht="15.75" customHeight="1" s="46">
      <c r="A184" s="2" t="n"/>
      <c r="B184" s="2" t="n"/>
      <c r="C184" s="2" t="n"/>
      <c r="D184" s="2" t="n"/>
      <c r="E184" s="2" t="n"/>
      <c r="F184" s="2" t="n"/>
      <c r="G184" s="2" t="n"/>
      <c r="H184" s="2" t="n"/>
      <c r="I184" s="2" t="n"/>
      <c r="J184" s="2" t="n"/>
      <c r="K184" s="2" t="n"/>
      <c r="L184" s="2" t="n"/>
    </row>
    <row r="185" ht="15.75" customHeight="1" s="46">
      <c r="A185" s="2" t="n"/>
      <c r="B185" s="2" t="n"/>
      <c r="C185" s="2" t="n"/>
      <c r="D185" s="2" t="n"/>
      <c r="E185" s="2" t="n"/>
      <c r="F185" s="2" t="n"/>
      <c r="G185" s="2" t="n"/>
      <c r="H185" s="2" t="n"/>
      <c r="I185" s="2" t="n"/>
      <c r="J185" s="2" t="n"/>
      <c r="K185" s="2" t="n"/>
      <c r="L185" s="2" t="n"/>
    </row>
    <row r="186" ht="15.75" customHeight="1" s="46">
      <c r="A186" s="2" t="n"/>
      <c r="B186" s="2" t="n"/>
      <c r="C186" s="2" t="n"/>
      <c r="D186" s="2" t="n"/>
      <c r="E186" s="2" t="n"/>
      <c r="F186" s="2" t="n"/>
      <c r="G186" s="2" t="n"/>
      <c r="H186" s="2" t="n"/>
      <c r="I186" s="2" t="n"/>
      <c r="J186" s="2" t="n"/>
      <c r="K186" s="2" t="n"/>
      <c r="L186" s="2" t="n"/>
    </row>
    <row r="187" ht="15.75" customHeight="1" s="46">
      <c r="A187" s="2" t="n"/>
      <c r="B187" s="2" t="n"/>
      <c r="C187" s="2" t="n"/>
      <c r="D187" s="2" t="n"/>
      <c r="E187" s="2" t="n"/>
      <c r="F187" s="2" t="n"/>
      <c r="G187" s="2" t="n"/>
      <c r="H187" s="2" t="n"/>
      <c r="I187" s="2" t="n"/>
      <c r="J187" s="2" t="n"/>
      <c r="K187" s="2" t="n"/>
      <c r="L187" s="2" t="n"/>
    </row>
    <row r="188" ht="15.75" customHeight="1" s="46">
      <c r="A188" s="2" t="n"/>
      <c r="B188" s="2" t="n"/>
      <c r="C188" s="2" t="n"/>
      <c r="D188" s="2" t="n"/>
      <c r="E188" s="2" t="n"/>
      <c r="F188" s="2" t="n"/>
      <c r="G188" s="2" t="n"/>
      <c r="H188" s="2" t="n"/>
      <c r="I188" s="2" t="n"/>
      <c r="J188" s="2" t="n"/>
      <c r="K188" s="2" t="n"/>
      <c r="L188" s="2" t="n"/>
    </row>
    <row r="189" ht="15.75" customHeight="1" s="46">
      <c r="A189" s="2" t="n"/>
      <c r="B189" s="2" t="n"/>
      <c r="C189" s="2" t="n"/>
      <c r="D189" s="2" t="n"/>
      <c r="E189" s="2" t="n"/>
      <c r="F189" s="2" t="n"/>
      <c r="G189" s="2" t="n"/>
      <c r="H189" s="2" t="n"/>
      <c r="I189" s="2" t="n"/>
      <c r="J189" s="2" t="n"/>
      <c r="K189" s="2" t="n"/>
      <c r="L189" s="2" t="n"/>
    </row>
    <row r="190" ht="15.75" customHeight="1" s="46">
      <c r="A190" s="2" t="n"/>
      <c r="B190" s="2" t="n"/>
      <c r="C190" s="2" t="n"/>
      <c r="D190" s="2" t="n"/>
      <c r="E190" s="2" t="n"/>
      <c r="F190" s="2" t="n"/>
      <c r="G190" s="2" t="n"/>
      <c r="H190" s="2" t="n"/>
      <c r="I190" s="2" t="n"/>
      <c r="J190" s="2" t="n"/>
      <c r="K190" s="2" t="n"/>
      <c r="L190" s="2" t="n"/>
    </row>
    <row r="191" ht="15.75" customHeight="1" s="46">
      <c r="A191" s="2" t="n"/>
      <c r="B191" s="2" t="n"/>
      <c r="C191" s="2" t="n"/>
      <c r="D191" s="2" t="n"/>
      <c r="E191" s="2" t="n"/>
      <c r="F191" s="2" t="n"/>
      <c r="G191" s="2" t="n"/>
      <c r="H191" s="2" t="n"/>
      <c r="I191" s="2" t="n"/>
      <c r="J191" s="2" t="n"/>
      <c r="K191" s="2" t="n"/>
      <c r="L191" s="2" t="n"/>
    </row>
    <row r="192" ht="15.75" customHeight="1" s="46">
      <c r="A192" s="2" t="n"/>
      <c r="B192" s="2" t="n"/>
      <c r="C192" s="2" t="n"/>
      <c r="D192" s="2" t="n"/>
      <c r="E192" s="2" t="n"/>
      <c r="F192" s="2" t="n"/>
      <c r="G192" s="2" t="n"/>
      <c r="H192" s="2" t="n"/>
      <c r="I192" s="2" t="n"/>
      <c r="J192" s="2" t="n"/>
      <c r="K192" s="2" t="n"/>
      <c r="L192" s="2" t="n"/>
    </row>
    <row r="193" ht="15.75" customHeight="1" s="46">
      <c r="A193" s="2" t="n"/>
      <c r="B193" s="2" t="n"/>
      <c r="C193" s="2" t="n"/>
      <c r="D193" s="2" t="n"/>
      <c r="E193" s="2" t="n"/>
      <c r="F193" s="2" t="n"/>
      <c r="G193" s="2" t="n"/>
      <c r="H193" s="2" t="n"/>
      <c r="I193" s="2" t="n"/>
      <c r="J193" s="2" t="n"/>
      <c r="K193" s="2" t="n"/>
      <c r="L193" s="2" t="n"/>
    </row>
    <row r="194" ht="15.75" customHeight="1" s="46">
      <c r="A194" s="2" t="n"/>
      <c r="B194" s="2" t="n"/>
      <c r="C194" s="2" t="n"/>
      <c r="D194" s="2" t="n"/>
      <c r="E194" s="2" t="n"/>
      <c r="F194" s="2" t="n"/>
      <c r="G194" s="2" t="n"/>
      <c r="H194" s="2" t="n"/>
      <c r="I194" s="2" t="n"/>
      <c r="J194" s="2" t="n"/>
      <c r="K194" s="2" t="n"/>
      <c r="L194" s="2" t="n"/>
    </row>
    <row r="195" ht="15.75" customHeight="1" s="46">
      <c r="A195" s="2" t="n"/>
      <c r="B195" s="2" t="n"/>
      <c r="C195" s="2" t="n"/>
      <c r="D195" s="2" t="n"/>
      <c r="E195" s="2" t="n"/>
      <c r="F195" s="2" t="n"/>
      <c r="G195" s="2" t="n"/>
      <c r="H195" s="2" t="n"/>
      <c r="I195" s="2" t="n"/>
      <c r="J195" s="2" t="n"/>
      <c r="K195" s="2" t="n"/>
      <c r="L195" s="2" t="n"/>
    </row>
    <row r="196" ht="15.75" customHeight="1" s="46">
      <c r="A196" s="2" t="n"/>
      <c r="B196" s="2" t="n"/>
      <c r="C196" s="2" t="n"/>
      <c r="D196" s="2" t="n"/>
      <c r="E196" s="2" t="n"/>
      <c r="F196" s="2" t="n"/>
      <c r="G196" s="2" t="n"/>
      <c r="H196" s="2" t="n"/>
      <c r="I196" s="2" t="n"/>
      <c r="J196" s="2" t="n"/>
      <c r="K196" s="2" t="n"/>
      <c r="L196" s="2" t="n"/>
    </row>
    <row r="197" ht="15.75" customHeight="1" s="46">
      <c r="A197" s="2" t="n"/>
      <c r="B197" s="2" t="n"/>
      <c r="C197" s="2" t="n"/>
      <c r="D197" s="2" t="n"/>
      <c r="E197" s="2" t="n"/>
      <c r="F197" s="2" t="n"/>
      <c r="G197" s="2" t="n"/>
      <c r="H197" s="2" t="n"/>
      <c r="I197" s="2" t="n"/>
      <c r="J197" s="2" t="n"/>
      <c r="K197" s="2" t="n"/>
      <c r="L197" s="2" t="n"/>
    </row>
    <row r="198" ht="15.75" customHeight="1" s="46">
      <c r="A198" s="2" t="n"/>
      <c r="B198" s="2" t="n"/>
      <c r="C198" s="2" t="n"/>
      <c r="D198" s="2" t="n"/>
      <c r="E198" s="2" t="n"/>
      <c r="F198" s="2" t="n"/>
      <c r="G198" s="2" t="n"/>
      <c r="H198" s="2" t="n"/>
      <c r="I198" s="2" t="n"/>
      <c r="J198" s="2" t="n"/>
      <c r="K198" s="2" t="n"/>
      <c r="L198" s="2" t="n"/>
    </row>
    <row r="199" ht="15.75" customHeight="1" s="46">
      <c r="A199" s="2" t="n"/>
      <c r="B199" s="2" t="n"/>
      <c r="C199" s="2" t="n"/>
      <c r="D199" s="2" t="n"/>
      <c r="E199" s="2" t="n"/>
      <c r="F199" s="2" t="n"/>
      <c r="G199" s="2" t="n"/>
      <c r="H199" s="2" t="n"/>
      <c r="I199" s="2" t="n"/>
      <c r="J199" s="2" t="n"/>
      <c r="K199" s="2" t="n"/>
      <c r="L199" s="2" t="n"/>
    </row>
    <row r="200" ht="15.75" customHeight="1" s="46">
      <c r="A200" s="2" t="n"/>
      <c r="B200" s="2" t="n"/>
      <c r="C200" s="2" t="n"/>
      <c r="D200" s="2" t="n"/>
      <c r="E200" s="2" t="n"/>
      <c r="F200" s="2" t="n"/>
      <c r="G200" s="2" t="n"/>
      <c r="H200" s="2" t="n"/>
      <c r="I200" s="2" t="n"/>
      <c r="J200" s="2" t="n"/>
      <c r="K200" s="2" t="n"/>
      <c r="L200" s="2" t="n"/>
    </row>
    <row r="201" ht="15.75" customHeight="1" s="46">
      <c r="A201" s="2" t="n"/>
      <c r="B201" s="2" t="n"/>
      <c r="C201" s="2" t="n"/>
      <c r="D201" s="2" t="n"/>
      <c r="E201" s="2" t="n"/>
      <c r="F201" s="2" t="n"/>
      <c r="G201" s="2" t="n"/>
      <c r="H201" s="2" t="n"/>
      <c r="I201" s="2" t="n"/>
      <c r="J201" s="2" t="n"/>
      <c r="K201" s="2" t="n"/>
      <c r="L201" s="2" t="n"/>
    </row>
    <row r="202" ht="15.75" customHeight="1" s="46">
      <c r="A202" s="2" t="n"/>
      <c r="B202" s="2" t="n"/>
      <c r="C202" s="2" t="n"/>
      <c r="D202" s="2" t="n"/>
      <c r="E202" s="2" t="n"/>
      <c r="F202" s="2" t="n"/>
      <c r="G202" s="2" t="n"/>
      <c r="H202" s="2" t="n"/>
      <c r="I202" s="2" t="n"/>
      <c r="J202" s="2" t="n"/>
      <c r="K202" s="2" t="n"/>
      <c r="L202" s="2" t="n"/>
    </row>
    <row r="203" ht="15.75" customHeight="1" s="46">
      <c r="A203" s="2" t="n"/>
      <c r="B203" s="2" t="n"/>
      <c r="C203" s="2" t="n"/>
      <c r="D203" s="2" t="n"/>
      <c r="E203" s="2" t="n"/>
      <c r="F203" s="2" t="n"/>
      <c r="G203" s="2" t="n"/>
      <c r="H203" s="2" t="n"/>
      <c r="I203" s="2" t="n"/>
      <c r="J203" s="2" t="n"/>
      <c r="K203" s="2" t="n"/>
      <c r="L203" s="2" t="n"/>
    </row>
    <row r="204" ht="15.75" customHeight="1" s="46">
      <c r="A204" s="2" t="n"/>
      <c r="B204" s="2" t="n"/>
      <c r="C204" s="2" t="n"/>
      <c r="D204" s="2" t="n"/>
      <c r="E204" s="2" t="n"/>
      <c r="F204" s="2" t="n"/>
      <c r="G204" s="2" t="n"/>
      <c r="H204" s="2" t="n"/>
      <c r="I204" s="2" t="n"/>
      <c r="J204" s="2" t="n"/>
      <c r="K204" s="2" t="n"/>
      <c r="L204" s="2" t="n"/>
    </row>
    <row r="205" ht="15.75" customHeight="1" s="46">
      <c r="A205" s="2" t="n"/>
      <c r="B205" s="2" t="n"/>
      <c r="C205" s="2" t="n"/>
      <c r="D205" s="2" t="n"/>
      <c r="E205" s="2" t="n"/>
      <c r="F205" s="2" t="n"/>
      <c r="G205" s="2" t="n"/>
      <c r="H205" s="2" t="n"/>
      <c r="I205" s="2" t="n"/>
      <c r="J205" s="2" t="n"/>
      <c r="K205" s="2" t="n"/>
      <c r="L205" s="2" t="n"/>
    </row>
    <row r="206" ht="15.75" customHeight="1" s="46">
      <c r="A206" s="2" t="n"/>
      <c r="B206" s="2" t="n"/>
      <c r="C206" s="2" t="n"/>
      <c r="D206" s="2" t="n"/>
      <c r="E206" s="2" t="n"/>
      <c r="F206" s="2" t="n"/>
      <c r="G206" s="2" t="n"/>
      <c r="H206" s="2" t="n"/>
      <c r="I206" s="2" t="n"/>
      <c r="J206" s="2" t="n"/>
      <c r="K206" s="2" t="n"/>
      <c r="L206" s="2" t="n"/>
    </row>
    <row r="207" ht="15.75" customHeight="1" s="46">
      <c r="A207" s="2" t="n"/>
      <c r="B207" s="2" t="n"/>
      <c r="C207" s="2" t="n"/>
      <c r="D207" s="2" t="n"/>
      <c r="E207" s="2" t="n"/>
      <c r="F207" s="2" t="n"/>
      <c r="G207" s="2" t="n"/>
      <c r="H207" s="2" t="n"/>
      <c r="I207" s="2" t="n"/>
      <c r="J207" s="2" t="n"/>
      <c r="K207" s="2" t="n"/>
      <c r="L207" s="2" t="n"/>
    </row>
    <row r="208" ht="15.75" customHeight="1" s="46">
      <c r="A208" s="2" t="n"/>
      <c r="B208" s="2" t="n"/>
      <c r="C208" s="2" t="n"/>
      <c r="D208" s="2" t="n"/>
      <c r="E208" s="2" t="n"/>
      <c r="F208" s="2" t="n"/>
      <c r="G208" s="2" t="n"/>
      <c r="H208" s="2" t="n"/>
      <c r="I208" s="2" t="n"/>
      <c r="J208" s="2" t="n"/>
      <c r="K208" s="2" t="n"/>
      <c r="L208" s="2" t="n"/>
    </row>
    <row r="209" ht="15.75" customHeight="1" s="46">
      <c r="A209" s="2" t="n"/>
      <c r="B209" s="2" t="n"/>
      <c r="C209" s="2" t="n"/>
      <c r="D209" s="2" t="n"/>
      <c r="E209" s="2" t="n"/>
      <c r="F209" s="2" t="n"/>
      <c r="G209" s="2" t="n"/>
      <c r="H209" s="2" t="n"/>
      <c r="I209" s="2" t="n"/>
      <c r="J209" s="2" t="n"/>
      <c r="K209" s="2" t="n"/>
      <c r="L209" s="2" t="n"/>
    </row>
    <row r="210" ht="15.75" customHeight="1" s="46">
      <c r="A210" s="2" t="n"/>
      <c r="B210" s="2" t="n"/>
      <c r="C210" s="2" t="n"/>
      <c r="D210" s="2" t="n"/>
      <c r="E210" s="2" t="n"/>
      <c r="F210" s="2" t="n"/>
      <c r="G210" s="2" t="n"/>
      <c r="H210" s="2" t="n"/>
      <c r="I210" s="2" t="n"/>
      <c r="J210" s="2" t="n"/>
      <c r="K210" s="2" t="n"/>
      <c r="L210" s="2" t="n"/>
    </row>
    <row r="211" ht="15.75" customHeight="1" s="46">
      <c r="A211" s="2" t="n"/>
      <c r="B211" s="2" t="n"/>
      <c r="C211" s="2" t="n"/>
      <c r="D211" s="2" t="n"/>
      <c r="E211" s="2" t="n"/>
      <c r="F211" s="2" t="n"/>
      <c r="G211" s="2" t="n"/>
      <c r="H211" s="2" t="n"/>
      <c r="I211" s="2" t="n"/>
      <c r="J211" s="2" t="n"/>
      <c r="K211" s="2" t="n"/>
      <c r="L211" s="2" t="n"/>
    </row>
    <row r="212" ht="15.75" customHeight="1" s="46">
      <c r="A212" s="2" t="n"/>
      <c r="B212" s="2" t="n"/>
      <c r="C212" s="2" t="n"/>
      <c r="D212" s="2" t="n"/>
      <c r="E212" s="2" t="n"/>
      <c r="F212" s="2" t="n"/>
      <c r="G212" s="2" t="n"/>
      <c r="H212" s="2" t="n"/>
      <c r="I212" s="2" t="n"/>
      <c r="J212" s="2" t="n"/>
      <c r="K212" s="2" t="n"/>
      <c r="L212" s="2" t="n"/>
    </row>
    <row r="213" ht="15.75" customHeight="1" s="46">
      <c r="A213" s="2" t="n"/>
      <c r="B213" s="2" t="n"/>
      <c r="C213" s="2" t="n"/>
      <c r="D213" s="2" t="n"/>
      <c r="E213" s="2" t="n"/>
      <c r="F213" s="2" t="n"/>
      <c r="G213" s="2" t="n"/>
      <c r="H213" s="2" t="n"/>
      <c r="I213" s="2" t="n"/>
      <c r="J213" s="2" t="n"/>
      <c r="K213" s="2" t="n"/>
      <c r="L213" s="2" t="n"/>
    </row>
    <row r="214" ht="15.75" customHeight="1" s="46">
      <c r="A214" s="2" t="n"/>
      <c r="B214" s="2" t="n"/>
      <c r="C214" s="2" t="n"/>
      <c r="D214" s="2" t="n"/>
      <c r="E214" s="2" t="n"/>
      <c r="F214" s="2" t="n"/>
      <c r="G214" s="2" t="n"/>
      <c r="H214" s="2" t="n"/>
      <c r="I214" s="2" t="n"/>
      <c r="J214" s="2" t="n"/>
      <c r="K214" s="2" t="n"/>
      <c r="L214" s="2" t="n"/>
    </row>
    <row r="215" ht="15.75" customHeight="1" s="46">
      <c r="A215" s="2" t="n"/>
      <c r="B215" s="2" t="n"/>
      <c r="C215" s="2" t="n"/>
      <c r="D215" s="2" t="n"/>
      <c r="E215" s="2" t="n"/>
      <c r="F215" s="2" t="n"/>
      <c r="G215" s="2" t="n"/>
      <c r="H215" s="2" t="n"/>
      <c r="I215" s="2" t="n"/>
      <c r="J215" s="2" t="n"/>
      <c r="K215" s="2" t="n"/>
      <c r="L215" s="2" t="n"/>
    </row>
    <row r="216" ht="15.75" customHeight="1" s="46">
      <c r="A216" s="2" t="n"/>
      <c r="B216" s="2" t="n"/>
      <c r="C216" s="2" t="n"/>
      <c r="D216" s="2" t="n"/>
      <c r="E216" s="2" t="n"/>
      <c r="F216" s="2" t="n"/>
      <c r="G216" s="2" t="n"/>
      <c r="H216" s="2" t="n"/>
      <c r="I216" s="2" t="n"/>
      <c r="J216" s="2" t="n"/>
      <c r="K216" s="2" t="n"/>
      <c r="L216" s="2" t="n"/>
    </row>
    <row r="217" ht="15.75" customHeight="1" s="46">
      <c r="A217" s="2" t="n"/>
      <c r="B217" s="2" t="n"/>
      <c r="C217" s="2" t="n"/>
      <c r="D217" s="2" t="n"/>
      <c r="E217" s="2" t="n"/>
      <c r="F217" s="2" t="n"/>
      <c r="G217" s="2" t="n"/>
      <c r="H217" s="2" t="n"/>
      <c r="I217" s="2" t="n"/>
      <c r="J217" s="2" t="n"/>
      <c r="K217" s="2" t="n"/>
      <c r="L217" s="2" t="n"/>
    </row>
    <row r="218" ht="15.75" customHeight="1" s="46">
      <c r="A218" s="2" t="n"/>
      <c r="B218" s="2" t="n"/>
      <c r="C218" s="2" t="n"/>
      <c r="D218" s="2" t="n"/>
      <c r="E218" s="2" t="n"/>
      <c r="F218" s="2" t="n"/>
      <c r="G218" s="2" t="n"/>
      <c r="H218" s="2" t="n"/>
      <c r="I218" s="2" t="n"/>
      <c r="J218" s="2" t="n"/>
      <c r="K218" s="2" t="n"/>
      <c r="L218" s="2" t="n"/>
    </row>
    <row r="219" ht="15.75" customHeight="1" s="46">
      <c r="A219" s="2" t="n"/>
      <c r="B219" s="2" t="n"/>
      <c r="C219" s="2" t="n"/>
      <c r="D219" s="2" t="n"/>
      <c r="E219" s="2" t="n"/>
      <c r="F219" s="2" t="n"/>
      <c r="G219" s="2" t="n"/>
      <c r="H219" s="2" t="n"/>
      <c r="I219" s="2" t="n"/>
      <c r="J219" s="2" t="n"/>
      <c r="K219" s="2" t="n"/>
      <c r="L219" s="2" t="n"/>
    </row>
    <row r="220" ht="15.75" customHeight="1" s="46">
      <c r="A220" s="2" t="n"/>
      <c r="B220" s="2" t="n"/>
      <c r="C220" s="2" t="n"/>
      <c r="D220" s="2" t="n"/>
      <c r="E220" s="2" t="n"/>
      <c r="F220" s="2" t="n"/>
      <c r="G220" s="2" t="n"/>
      <c r="H220" s="2" t="n"/>
      <c r="I220" s="2" t="n"/>
      <c r="J220" s="2" t="n"/>
      <c r="K220" s="2" t="n"/>
      <c r="L220" s="2" t="n"/>
    </row>
    <row r="221" ht="15.75" customHeight="1" s="46">
      <c r="A221" s="2" t="n"/>
      <c r="B221" s="2" t="n"/>
      <c r="C221" s="2" t="n"/>
      <c r="D221" s="2" t="n"/>
      <c r="E221" s="2" t="n"/>
      <c r="F221" s="2" t="n"/>
      <c r="G221" s="2" t="n"/>
      <c r="H221" s="2" t="n"/>
      <c r="I221" s="2" t="n"/>
      <c r="J221" s="2" t="n"/>
      <c r="K221" s="2" t="n"/>
      <c r="L221" s="2" t="n"/>
    </row>
    <row r="222" ht="15.75" customHeight="1" s="46">
      <c r="A222" s="2" t="n"/>
      <c r="B222" s="2" t="n"/>
      <c r="C222" s="2" t="n"/>
      <c r="D222" s="2" t="n"/>
      <c r="E222" s="2" t="n"/>
      <c r="F222" s="2" t="n"/>
      <c r="G222" s="2" t="n"/>
      <c r="H222" s="2" t="n"/>
      <c r="I222" s="2" t="n"/>
      <c r="J222" s="2" t="n"/>
      <c r="K222" s="2" t="n"/>
      <c r="L222" s="2" t="n"/>
    </row>
    <row r="223" ht="15.75" customHeight="1" s="46">
      <c r="A223" s="2" t="n"/>
      <c r="B223" s="2" t="n"/>
      <c r="C223" s="2" t="n"/>
      <c r="D223" s="2" t="n"/>
      <c r="E223" s="2" t="n"/>
      <c r="F223" s="2" t="n"/>
      <c r="G223" s="2" t="n"/>
      <c r="H223" s="2" t="n"/>
      <c r="I223" s="2" t="n"/>
      <c r="J223" s="2" t="n"/>
      <c r="K223" s="2" t="n"/>
      <c r="L223" s="2" t="n"/>
    </row>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3.xml><?xml version="1.0" encoding="utf-8"?>
<worksheet xmlns="http://schemas.openxmlformats.org/spreadsheetml/2006/main">
  <sheetPr>
    <outlinePr summaryBelow="1" summaryRight="1"/>
    <pageSetUpPr/>
  </sheetPr>
  <dimension ref="A1:H220"/>
  <sheetViews>
    <sheetView workbookViewId="0">
      <pane ySplit="4" topLeftCell="A5" activePane="bottomLeft" state="frozen"/>
      <selection pane="bottomLeft" activeCell="B6" sqref="B6"/>
    </sheetView>
  </sheetViews>
  <sheetFormatPr baseColWidth="8" defaultColWidth="14.43" defaultRowHeight="15" customHeight="1"/>
  <cols>
    <col width="22" customWidth="1" style="46" min="1" max="1"/>
    <col width="20" customWidth="1" style="46" min="2" max="2"/>
    <col width="30" customWidth="1" style="46" min="3" max="4"/>
    <col width="40" customWidth="1" style="46" min="5" max="5"/>
    <col width="34" customWidth="1" style="46" min="6" max="6"/>
    <col width="24" customWidth="1" style="46" min="7" max="7"/>
    <col width="40" customWidth="1" style="46" min="8" max="8"/>
  </cols>
  <sheetData>
    <row r="1" ht="17.25" customHeight="1" s="46">
      <c r="A1" s="1" t="inlineStr">
        <is>
          <t>Step 5: feasts, fairs, titles, the retinue and works of art</t>
        </is>
      </c>
      <c r="B1" s="2" t="n"/>
      <c r="C1" s="2" t="n"/>
      <c r="D1" s="2" t="n"/>
      <c r="E1" s="2" t="n"/>
      <c r="F1" s="2" t="n"/>
      <c r="G1" s="2" t="n"/>
    </row>
    <row r="2" ht="15" customHeight="1" s="46">
      <c r="A2" s="3" t="inlineStr">
        <is>
          <t>Today's numbers from the game, my proposal beside them. Coin costs follow the cheaper scale of construction.</t>
        </is>
      </c>
      <c r="B2" s="2" t="n"/>
      <c r="C2" s="2" t="n"/>
      <c r="D2" s="2" t="n"/>
      <c r="E2" s="2" t="n"/>
      <c r="F2" s="2" t="n"/>
      <c r="G2" s="2" t="n"/>
    </row>
    <row r="3">
      <c r="A3" s="2" t="n"/>
      <c r="B3" s="2" t="n"/>
      <c r="C3" s="2" t="n"/>
      <c r="D3" s="2" t="n"/>
      <c r="E3" s="2" t="n"/>
      <c r="F3" s="2" t="n"/>
      <c r="G3" s="2" t="n"/>
    </row>
    <row r="4" ht="15" customHeight="1" s="46">
      <c r="A4" s="9" t="inlineStr">
        <is>
          <t>What</t>
        </is>
      </c>
      <c r="B4" s="9" t="inlineStr">
        <is>
          <t>When</t>
        </is>
      </c>
      <c r="C4" s="9" t="inlineStr">
        <is>
          <t>Costs today</t>
        </is>
      </c>
      <c r="D4" s="9" t="inlineStr">
        <is>
          <t>Proposed cost</t>
        </is>
      </c>
      <c r="E4" s="9" t="inlineStr">
        <is>
          <t>Gives</t>
        </is>
      </c>
      <c r="F4" s="9" t="inlineStr">
        <is>
          <t>Change</t>
        </is>
      </c>
      <c r="G4" s="9" t="inlineStr">
        <is>
          <t>Your notes</t>
        </is>
      </c>
      <c r="H4" s="9" t="inlineStr">
        <is>
          <t>My notes</t>
        </is>
      </c>
    </row>
    <row r="5" ht="13.5" customHeight="1" s="46">
      <c r="A5" s="10" t="inlineStr">
        <is>
          <t>Feasts and festivals</t>
        </is>
      </c>
      <c r="B5" s="10" t="n"/>
      <c r="C5" s="10" t="n"/>
      <c r="D5" s="10" t="n"/>
      <c r="E5" s="10" t="n"/>
      <c r="F5" s="10" t="n"/>
      <c r="G5" s="10" t="n"/>
    </row>
    <row r="6" ht="27.75" customHeight="1" s="46">
      <c r="A6" s="7" t="inlineStr">
        <is>
          <t>Harvest feast</t>
        </is>
      </c>
      <c r="B6" s="7" t="inlineStr">
        <is>
          <t>Each autumn, at the manor</t>
        </is>
      </c>
      <c r="C6" s="7" t="inlineStr">
        <is>
          <t>A meal for every villager, a cask for every eight</t>
        </is>
      </c>
      <c r="D6" s="11" t="inlineStr">
        <is>
          <t>Same</t>
        </is>
      </c>
      <c r="E6" s="7" t="inlineStr">
        <is>
          <t>+14 happiness for half a year, +10 prestige (with drink)</t>
        </is>
      </c>
      <c r="F6" s="7" t="inlineStr">
        <is>
          <t>Any tavern drink counts (step 3).</t>
        </is>
      </c>
      <c r="G6" s="45" t="inlineStr">
        <is>
          <t>ok</t>
        </is>
      </c>
    </row>
    <row r="7" ht="13.5" customHeight="1" s="46">
      <c r="A7" s="7" t="inlineStr">
        <is>
          <t>May Day</t>
        </is>
      </c>
      <c r="B7" s="7" t="inlineStr">
        <is>
          <t>Spring, Manor House</t>
        </is>
      </c>
      <c r="C7" s="7" t="inlineStr">
        <is>
          <t>Food for a quarter of the villagers</t>
        </is>
      </c>
      <c r="D7" s="11" t="inlineStr">
        <is>
          <t>Same</t>
        </is>
      </c>
      <c r="E7" s="7" t="inlineStr">
        <is>
          <t>+6 happiness for a season, +3 prestige</t>
        </is>
      </c>
      <c r="F7" s="7" t="n"/>
      <c r="G7" s="45" t="inlineStr">
        <is>
          <t>ok</t>
        </is>
      </c>
    </row>
    <row r="8" ht="27.75" customHeight="1" s="46">
      <c r="A8" s="7" t="inlineStr">
        <is>
          <t>Midsummer</t>
        </is>
      </c>
      <c r="B8" s="7" t="inlineStr">
        <is>
          <t>Summer, Manor House</t>
        </is>
      </c>
      <c r="C8" s="7" t="inlineStr">
        <is>
          <t>Food for a quarter, 20 timber (a bonfire)</t>
        </is>
      </c>
      <c r="D8" s="11" t="inlineStr">
        <is>
          <t>Food for a quarter, 10 firewood</t>
        </is>
      </c>
      <c r="E8" s="7" t="inlineStr">
        <is>
          <t>+6 happiness, +3 prestige</t>
        </is>
      </c>
      <c r="F8" s="7" t="inlineStr">
        <is>
          <t>Timber down to the new scale; firewood for a bonfire.</t>
        </is>
      </c>
      <c r="G8" s="45" t="inlineStr">
        <is>
          <t>ok</t>
        </is>
      </c>
    </row>
    <row r="9" ht="27.75" customHeight="1" s="46">
      <c r="A9" s="7" t="inlineStr">
        <is>
          <t>The great fair</t>
        </is>
      </c>
      <c r="B9" s="7" t="inlineStr">
        <is>
          <t>Once a year, from Town</t>
        </is>
      </c>
      <c r="C9" s="7" t="inlineStr">
        <is>
          <t>400 coins, half again each fair</t>
        </is>
      </c>
      <c r="D9" s="11" t="inlineStr">
        <is>
          <t>100 coins, half again each fair</t>
        </is>
      </c>
      <c r="E9" s="7" t="inlineStr">
        <is>
          <t>15 prestige (+5 each fair), +8 happiness</t>
        </is>
      </c>
      <c r="F9" s="7" t="inlineStr">
        <is>
          <t>Coins on the new scale; the tiltyard doubles the prestige.</t>
        </is>
      </c>
      <c r="G9" s="45" t="inlineStr">
        <is>
          <t>ok</t>
        </is>
      </c>
    </row>
    <row r="10" ht="13.5" customHeight="1" s="46">
      <c r="A10" s="10" t="inlineStr">
        <is>
          <t>The lord</t>
        </is>
      </c>
      <c r="B10" s="10" t="n"/>
      <c r="C10" s="10" t="n"/>
      <c r="D10" s="10" t="n"/>
      <c r="E10" s="10" t="n"/>
      <c r="F10" s="10" t="n"/>
      <c r="G10" s="10" t="n"/>
    </row>
    <row r="11" ht="27.75" customHeight="1" s="46">
      <c r="A11" s="7" t="inlineStr">
        <is>
          <t>Baron</t>
        </is>
      </c>
      <c r="B11" s="7" t="inlineStr">
        <is>
          <t>Town</t>
        </is>
      </c>
      <c r="C11" s="7" t="inlineStr">
        <is>
          <t>500 prestige</t>
        </is>
      </c>
      <c r="D11" s="11" t="inlineStr">
        <is>
          <t>Same</t>
        </is>
      </c>
      <c r="E11" s="7" t="inlineStr">
        <is>
          <t>Taxes a tenth more</t>
        </is>
      </c>
      <c r="F11" s="7" t="inlineStr">
        <is>
          <t>Prestige income is unchanged, so titles stay.</t>
        </is>
      </c>
      <c r="G11" s="45" t="inlineStr">
        <is>
          <t>Ididn't get. Do you have to buy the titles?</t>
        </is>
      </c>
      <c r="H11" s="7" t="inlineStr">
        <is>
          <t>Yes: titles are bought with prestige once the town is big enough, each with a lasting boon. Your Marquess took the old Duke's numbers; Duke gets new ones.</t>
        </is>
      </c>
    </row>
    <row r="12" ht="13.5" customHeight="1" s="46">
      <c r="A12" s="7" t="inlineStr">
        <is>
          <t>Earl</t>
        </is>
      </c>
      <c r="B12" s="7" t="inlineStr">
        <is>
          <t>Borough</t>
        </is>
      </c>
      <c r="C12" s="7" t="inlineStr">
        <is>
          <t>1500 prestige</t>
        </is>
      </c>
      <c r="D12" s="11" t="inlineStr">
        <is>
          <t>Same</t>
        </is>
      </c>
      <c r="E12" s="7" t="inlineStr">
        <is>
          <t>+3 happiness</t>
        </is>
      </c>
      <c r="F12" s="7" t="n"/>
      <c r="G12" s="45" t="n"/>
    </row>
    <row r="13" ht="13.5" customHeight="1" s="46">
      <c r="A13" s="7" t="inlineStr">
        <is>
          <t>Marquess</t>
        </is>
      </c>
      <c r="B13" s="13" t="inlineStr">
        <is>
          <t>City</t>
        </is>
      </c>
      <c r="C13" s="13" t="inlineStr">
        <is>
          <t>—</t>
        </is>
      </c>
      <c r="D13" s="26" t="inlineStr">
        <is>
          <t>3000 prestige</t>
        </is>
      </c>
      <c r="E13" s="13" t="inlineStr">
        <is>
          <t>Merchants buy half as much again</t>
        </is>
      </c>
      <c r="F13" s="13" t="inlineStr">
        <is>
          <t>New title between Earl and Duke (yours).</t>
        </is>
      </c>
      <c r="G13" s="45" t="n"/>
    </row>
    <row r="14" ht="27.75" customHeight="1" s="46">
      <c r="A14" s="7" t="inlineStr">
        <is>
          <t>Duke</t>
        </is>
      </c>
      <c r="B14" s="13" t="inlineStr">
        <is>
          <t>City, with a Palace</t>
        </is>
      </c>
      <c r="C14" s="13" t="inlineStr">
        <is>
          <t>4000 prestige</t>
        </is>
      </c>
      <c r="D14" s="26" t="inlineStr">
        <is>
          <t>6000 prestige</t>
        </is>
      </c>
      <c r="E14" s="13" t="inlineStr">
        <is>
          <t>Prestige a fifth more every month</t>
        </is>
      </c>
      <c r="F14" s="13" t="inlineStr">
        <is>
          <t>Now the last title.</t>
        </is>
      </c>
      <c r="G14" s="45" t="n"/>
      <c r="H14" s="7" t="inlineStr">
        <is>
          <t>The retinue row moved to the Barracks (5 Manor).</t>
        </is>
      </c>
    </row>
    <row r="15" ht="13.5" customHeight="1" s="46">
      <c r="A15" s="10" t="inlineStr">
        <is>
          <t>Works of art</t>
        </is>
      </c>
      <c r="B15" s="10" t="n"/>
      <c r="C15" s="10" t="n"/>
      <c r="D15" s="10" t="n"/>
      <c r="E15" s="10" t="n"/>
      <c r="F15" s="10" t="n"/>
      <c r="G15" s="10" t="n"/>
    </row>
    <row r="16" ht="13.5" customHeight="1" s="46">
      <c r="A16" s="7" t="inlineStr">
        <is>
          <t>Great tapestry</t>
        </is>
      </c>
      <c r="B16" s="7" t="inlineStr">
        <is>
          <t>An artist</t>
        </is>
      </c>
      <c r="C16" s="13" t="inlineStr">
        <is>
          <t>—</t>
        </is>
      </c>
      <c r="D16" s="13" t="inlineStr">
        <is>
          <t>A masterpiece from the atelier (chance)</t>
        </is>
      </c>
      <c r="E16" s="7" t="inlineStr">
        <is>
          <t>+3 happiness for good</t>
        </is>
      </c>
      <c r="F16" s="13" t="inlineStr">
        <is>
          <t>Was bought with prestige and goods; now made by an artist.</t>
        </is>
      </c>
      <c r="G16" s="45" t="inlineStr">
        <is>
          <t>new</t>
        </is>
      </c>
    </row>
    <row r="17" ht="27.75" customHeight="1" s="46">
      <c r="A17" s="7" t="inlineStr">
        <is>
          <t>Stained-glass windows</t>
        </is>
      </c>
      <c r="B17" s="7" t="inlineStr">
        <is>
          <t>An artist</t>
        </is>
      </c>
      <c r="C17" s="13" t="inlineStr">
        <is>
          <t>—</t>
        </is>
      </c>
      <c r="D17" s="13" t="inlineStr">
        <is>
          <t>A masterpiece from the atelier (chance)</t>
        </is>
      </c>
      <c r="E17" s="7" t="inlineStr">
        <is>
          <t>+3 happiness for good</t>
        </is>
      </c>
      <c r="F17" s="7" t="inlineStr">
        <is>
          <t>Fewer panes for the glazier's slower pace.</t>
        </is>
      </c>
      <c r="G17" s="45" t="inlineStr">
        <is>
          <t>new</t>
        </is>
      </c>
    </row>
    <row r="18">
      <c r="A18" s="2" t="inlineStr">
        <is>
          <t>Renowed statue</t>
        </is>
      </c>
      <c r="B18" s="7" t="inlineStr">
        <is>
          <t>An artist</t>
        </is>
      </c>
      <c r="C18" s="13" t="inlineStr">
        <is>
          <t>—</t>
        </is>
      </c>
      <c r="D18" s="13" t="inlineStr">
        <is>
          <t>A masterpiece from the atelier (chance)</t>
        </is>
      </c>
      <c r="E18" s="2" t="inlineStr">
        <is>
          <t>+2 Prestige per month</t>
        </is>
      </c>
      <c r="F18" s="2" t="n"/>
      <c r="G18" s="2" t="inlineStr">
        <is>
          <t>new</t>
        </is>
      </c>
    </row>
    <row r="19">
      <c r="A19" s="2" t="inlineStr">
        <is>
          <t>Literature Classic</t>
        </is>
      </c>
      <c r="B19" s="7" t="inlineStr">
        <is>
          <t>An artist</t>
        </is>
      </c>
      <c r="C19" s="13" t="inlineStr">
        <is>
          <t>—</t>
        </is>
      </c>
      <c r="D19" s="13" t="inlineStr">
        <is>
          <t>A masterpiece from the atelier (chance)</t>
        </is>
      </c>
      <c r="E19" s="2" t="inlineStr">
        <is>
          <t>+1 Prestige per month +1 knowledge per month</t>
        </is>
      </c>
      <c r="F19" s="2" t="n"/>
      <c r="G19" s="2" t="inlineStr">
        <is>
          <t>new</t>
        </is>
      </c>
    </row>
    <row r="20">
      <c r="A20" s="13" t="inlineStr">
        <is>
          <t>Alchemical treatise</t>
        </is>
      </c>
      <c r="B20" s="7" t="inlineStr">
        <is>
          <t>An artist</t>
        </is>
      </c>
      <c r="C20" s="13" t="inlineStr">
        <is>
          <t>—</t>
        </is>
      </c>
      <c r="D20" s="13" t="inlineStr">
        <is>
          <t>A masterpiece from the atelier (chance)</t>
        </is>
      </c>
      <c r="E20" s="2" t="inlineStr">
        <is>
          <t>+2 knowledge/month</t>
        </is>
      </c>
      <c r="F20" s="2" t="n"/>
      <c r="G20" s="2" t="inlineStr">
        <is>
          <t>new</t>
        </is>
      </c>
    </row>
    <row r="21" ht="15.75" customHeight="1" s="46">
      <c r="A21" s="2" t="n"/>
      <c r="B21" s="2" t="n"/>
      <c r="C21" s="2" t="n"/>
      <c r="D21" s="2" t="n"/>
      <c r="E21" s="2" t="n"/>
      <c r="F21" s="2" t="n"/>
      <c r="G21" s="2" t="n"/>
    </row>
    <row r="22" ht="15.75" customHeight="1" s="46">
      <c r="A22" s="2" t="n"/>
      <c r="B22" s="2" t="n"/>
      <c r="C22" s="2" t="n"/>
      <c r="D22" s="2" t="n"/>
      <c r="E22" s="2" t="n"/>
      <c r="F22" s="2" t="n"/>
      <c r="G22" s="2" t="n"/>
    </row>
    <row r="23" ht="15.75" customHeight="1" s="46">
      <c r="A23" s="2" t="n"/>
      <c r="B23" s="2" t="n"/>
      <c r="C23" s="2" t="n"/>
      <c r="D23" s="2" t="n"/>
      <c r="E23" s="2" t="n"/>
      <c r="F23" s="2" t="n"/>
      <c r="G23" s="2" t="n"/>
    </row>
    <row r="24" ht="15.75" customHeight="1" s="46">
      <c r="A24" s="2" t="n"/>
      <c r="B24" s="2" t="n"/>
      <c r="C24" s="2" t="n"/>
      <c r="D24" s="2" t="n"/>
      <c r="E24" s="2" t="n"/>
      <c r="F24" s="2" t="n"/>
      <c r="G24" s="2" t="n"/>
    </row>
    <row r="25" ht="15.75" customHeight="1" s="46">
      <c r="A25" s="2" t="n"/>
      <c r="B25" s="2" t="n"/>
      <c r="C25" s="2" t="n"/>
      <c r="D25" s="2" t="n"/>
      <c r="E25" s="2" t="n"/>
      <c r="F25" s="2" t="n"/>
      <c r="G25" s="2" t="n"/>
    </row>
    <row r="26" ht="15.75" customHeight="1" s="46">
      <c r="A26" s="2" t="n"/>
      <c r="B26" s="2" t="n"/>
      <c r="C26" s="2" t="n"/>
      <c r="D26" s="2" t="n"/>
      <c r="E26" s="2" t="n"/>
      <c r="F26" s="2" t="n"/>
      <c r="G26" s="2" t="n"/>
    </row>
    <row r="27" ht="15.75" customHeight="1" s="46">
      <c r="A27" s="2" t="n"/>
      <c r="B27" s="2" t="n"/>
      <c r="C27" s="2" t="n"/>
      <c r="D27" s="2" t="n"/>
      <c r="E27" s="2" t="n"/>
      <c r="F27" s="2" t="n"/>
      <c r="G27" s="2" t="n"/>
    </row>
    <row r="28" ht="15.75" customHeight="1" s="46">
      <c r="A28" s="2" t="n"/>
      <c r="B28" s="2" t="n"/>
      <c r="C28" s="2" t="n"/>
      <c r="D28" s="2" t="n"/>
      <c r="E28" s="2" t="n"/>
      <c r="F28" s="2" t="n"/>
      <c r="G28" s="2" t="n"/>
    </row>
    <row r="29" ht="15.75" customHeight="1" s="46">
      <c r="A29" s="2" t="n"/>
      <c r="B29" s="2" t="n"/>
      <c r="C29" s="2" t="n"/>
      <c r="D29" s="2" t="n"/>
      <c r="E29" s="2" t="n"/>
      <c r="F29" s="2" t="n"/>
      <c r="G29" s="2" t="n"/>
    </row>
    <row r="30" ht="15.75" customHeight="1" s="46">
      <c r="A30" s="2" t="n"/>
      <c r="B30" s="2" t="n"/>
      <c r="C30" s="2" t="n"/>
      <c r="D30" s="2" t="n"/>
      <c r="E30" s="2" t="n"/>
      <c r="F30" s="2" t="n"/>
      <c r="G30" s="2" t="n"/>
    </row>
    <row r="31" ht="15.75" customHeight="1" s="46">
      <c r="A31" s="2" t="n"/>
      <c r="B31" s="2" t="n"/>
      <c r="C31" s="2" t="n"/>
      <c r="D31" s="2" t="n"/>
      <c r="E31" s="2" t="n"/>
      <c r="F31" s="2" t="n"/>
      <c r="G31" s="2" t="n"/>
    </row>
    <row r="32" ht="15.75" customHeight="1" s="46">
      <c r="A32" s="2" t="n"/>
      <c r="B32" s="2" t="n"/>
      <c r="C32" s="2" t="n"/>
      <c r="D32" s="2" t="n"/>
      <c r="E32" s="2" t="n"/>
      <c r="F32" s="2" t="n"/>
      <c r="G32" s="2" t="n"/>
    </row>
    <row r="33" ht="15.75" customHeight="1" s="46">
      <c r="A33" s="2" t="n"/>
      <c r="B33" s="2" t="n"/>
      <c r="C33" s="2" t="n"/>
      <c r="D33" s="2" t="n"/>
      <c r="E33" s="2" t="n"/>
      <c r="F33" s="2" t="n"/>
      <c r="G33" s="2" t="n"/>
    </row>
    <row r="34" ht="15.75" customHeight="1" s="46">
      <c r="A34" s="2" t="n"/>
      <c r="B34" s="2" t="n"/>
      <c r="C34" s="2" t="n"/>
      <c r="D34" s="2" t="n"/>
      <c r="E34" s="2" t="n"/>
      <c r="F34" s="2" t="n"/>
      <c r="G34" s="2" t="n"/>
    </row>
    <row r="35" ht="15.75" customHeight="1" s="46">
      <c r="A35" s="2" t="n"/>
      <c r="B35" s="2" t="n"/>
      <c r="C35" s="2" t="n"/>
      <c r="D35" s="2" t="n"/>
      <c r="E35" s="2" t="n"/>
      <c r="F35" s="2" t="n"/>
      <c r="G35" s="2" t="n"/>
    </row>
    <row r="36" ht="15.75" customHeight="1" s="46">
      <c r="A36" s="2" t="n"/>
      <c r="B36" s="2" t="n"/>
      <c r="C36" s="2" t="n"/>
      <c r="D36" s="2" t="n"/>
      <c r="E36" s="2" t="n"/>
      <c r="F36" s="2" t="n"/>
      <c r="G36" s="2" t="n"/>
    </row>
    <row r="37" ht="15.75" customHeight="1" s="46">
      <c r="A37" s="2" t="n"/>
      <c r="B37" s="2" t="n"/>
      <c r="C37" s="2" t="n"/>
      <c r="D37" s="2" t="n"/>
      <c r="E37" s="2" t="n"/>
      <c r="F37" s="2" t="n"/>
      <c r="G37" s="2" t="n"/>
    </row>
    <row r="38" ht="15.75" customHeight="1" s="46">
      <c r="A38" s="2" t="n"/>
      <c r="B38" s="2" t="n"/>
      <c r="C38" s="2" t="n"/>
      <c r="D38" s="2" t="n"/>
      <c r="E38" s="2" t="n"/>
      <c r="F38" s="2" t="n"/>
      <c r="G38" s="2" t="n"/>
    </row>
    <row r="39" ht="15.75" customHeight="1" s="46">
      <c r="A39" s="2" t="n"/>
      <c r="B39" s="2" t="n"/>
      <c r="C39" s="2" t="n"/>
      <c r="D39" s="2" t="n"/>
      <c r="E39" s="2" t="n"/>
      <c r="F39" s="2" t="n"/>
      <c r="G39" s="2" t="n"/>
    </row>
    <row r="40" ht="15.75" customHeight="1" s="46">
      <c r="A40" s="2" t="n"/>
      <c r="B40" s="2" t="n"/>
      <c r="C40" s="2" t="n"/>
      <c r="D40" s="2" t="n"/>
      <c r="E40" s="2" t="n"/>
      <c r="F40" s="2" t="n"/>
      <c r="G40" s="2" t="n"/>
    </row>
    <row r="41" ht="15.75" customHeight="1" s="46">
      <c r="A41" s="2" t="n"/>
      <c r="B41" s="2" t="n"/>
      <c r="C41" s="2" t="n"/>
      <c r="D41" s="2" t="n"/>
      <c r="E41" s="2" t="n"/>
      <c r="F41" s="2" t="n"/>
      <c r="G41" s="2" t="n"/>
    </row>
    <row r="42" ht="15.75" customHeight="1" s="46">
      <c r="A42" s="2" t="n"/>
      <c r="B42" s="2" t="n"/>
      <c r="C42" s="2" t="n"/>
      <c r="D42" s="2" t="n"/>
      <c r="E42" s="2" t="n"/>
      <c r="F42" s="2" t="n"/>
      <c r="G42" s="2" t="n"/>
    </row>
    <row r="43" ht="15.75" customHeight="1" s="46">
      <c r="A43" s="2" t="n"/>
      <c r="B43" s="2" t="n"/>
      <c r="C43" s="2" t="n"/>
      <c r="D43" s="2" t="n"/>
      <c r="E43" s="2" t="n"/>
      <c r="F43" s="2" t="n"/>
      <c r="G43" s="2" t="n"/>
    </row>
    <row r="44" ht="15.75" customHeight="1" s="46">
      <c r="A44" s="2" t="n"/>
      <c r="B44" s="2" t="n"/>
      <c r="C44" s="2" t="n"/>
      <c r="D44" s="2" t="n"/>
      <c r="E44" s="2" t="n"/>
      <c r="F44" s="2" t="n"/>
      <c r="G44" s="2" t="n"/>
    </row>
    <row r="45" ht="15.75" customHeight="1" s="46">
      <c r="A45" s="2" t="n"/>
      <c r="B45" s="2" t="n"/>
      <c r="C45" s="2" t="n"/>
      <c r="D45" s="2" t="n"/>
      <c r="E45" s="2" t="n"/>
      <c r="F45" s="2" t="n"/>
      <c r="G45" s="2" t="n"/>
    </row>
    <row r="46" ht="15.75" customHeight="1" s="46">
      <c r="A46" s="2" t="n"/>
      <c r="B46" s="2" t="n"/>
      <c r="C46" s="2" t="n"/>
      <c r="D46" s="2" t="n"/>
      <c r="E46" s="2" t="n"/>
      <c r="F46" s="2" t="n"/>
      <c r="G46" s="2" t="n"/>
    </row>
    <row r="47" ht="15.75" customHeight="1" s="46">
      <c r="A47" s="2" t="n"/>
      <c r="B47" s="2" t="n"/>
      <c r="C47" s="2" t="n"/>
      <c r="D47" s="2" t="n"/>
      <c r="E47" s="2" t="n"/>
      <c r="F47" s="2" t="n"/>
      <c r="G47" s="2" t="n"/>
    </row>
    <row r="48" ht="15.75" customHeight="1" s="46">
      <c r="A48" s="2" t="n"/>
      <c r="B48" s="2" t="n"/>
      <c r="C48" s="2" t="n"/>
      <c r="D48" s="2" t="n"/>
      <c r="E48" s="2" t="n"/>
      <c r="F48" s="2" t="n"/>
      <c r="G48" s="2" t="n"/>
    </row>
    <row r="49" ht="15.75" customHeight="1" s="46">
      <c r="A49" s="2" t="n"/>
      <c r="B49" s="2" t="n"/>
      <c r="C49" s="2" t="n"/>
      <c r="D49" s="2" t="n"/>
      <c r="E49" s="2" t="n"/>
      <c r="F49" s="2" t="n"/>
      <c r="G49" s="2" t="n"/>
    </row>
    <row r="50" ht="15.75" customHeight="1" s="46">
      <c r="A50" s="2" t="n"/>
      <c r="B50" s="2" t="n"/>
      <c r="C50" s="2" t="n"/>
      <c r="D50" s="2" t="n"/>
      <c r="E50" s="2" t="n"/>
      <c r="F50" s="2" t="n"/>
      <c r="G50" s="2" t="n"/>
    </row>
    <row r="51" ht="15.75" customHeight="1" s="46">
      <c r="A51" s="2" t="n"/>
      <c r="B51" s="2" t="n"/>
      <c r="C51" s="2" t="n"/>
      <c r="D51" s="2" t="n"/>
      <c r="E51" s="2" t="n"/>
      <c r="F51" s="2" t="n"/>
      <c r="G51" s="2" t="n"/>
    </row>
    <row r="52" ht="15.75" customHeight="1" s="46">
      <c r="A52" s="2" t="n"/>
      <c r="B52" s="2" t="n"/>
      <c r="C52" s="2" t="n"/>
      <c r="D52" s="2" t="n"/>
      <c r="E52" s="2" t="n"/>
      <c r="F52" s="2" t="n"/>
      <c r="G52" s="2" t="n"/>
    </row>
    <row r="53" ht="15.75" customHeight="1" s="46">
      <c r="A53" s="2" t="n"/>
      <c r="B53" s="2" t="n"/>
      <c r="C53" s="2" t="n"/>
      <c r="D53" s="2" t="n"/>
      <c r="E53" s="2" t="n"/>
      <c r="F53" s="2" t="n"/>
      <c r="G53" s="2" t="n"/>
    </row>
    <row r="54" ht="15.75" customHeight="1" s="46">
      <c r="A54" s="2" t="n"/>
      <c r="B54" s="2" t="n"/>
      <c r="C54" s="2" t="n"/>
      <c r="D54" s="2" t="n"/>
      <c r="E54" s="2" t="n"/>
      <c r="F54" s="2" t="n"/>
      <c r="G54" s="2" t="n"/>
    </row>
    <row r="55" ht="15.75" customHeight="1" s="46">
      <c r="A55" s="2" t="n"/>
      <c r="B55" s="2" t="n"/>
      <c r="C55" s="2" t="n"/>
      <c r="D55" s="2" t="n"/>
      <c r="E55" s="2" t="n"/>
      <c r="F55" s="2" t="n"/>
      <c r="G55" s="2" t="n"/>
    </row>
    <row r="56" ht="15.75" customHeight="1" s="46">
      <c r="A56" s="2" t="n"/>
      <c r="B56" s="2" t="n"/>
      <c r="C56" s="2" t="n"/>
      <c r="D56" s="2" t="n"/>
      <c r="E56" s="2" t="n"/>
      <c r="F56" s="2" t="n"/>
      <c r="G56" s="2" t="n"/>
    </row>
    <row r="57" ht="15.75" customHeight="1" s="46">
      <c r="A57" s="2" t="n"/>
      <c r="B57" s="2" t="n"/>
      <c r="C57" s="2" t="n"/>
      <c r="D57" s="2" t="n"/>
      <c r="E57" s="2" t="n"/>
      <c r="F57" s="2" t="n"/>
      <c r="G57" s="2" t="n"/>
    </row>
    <row r="58" ht="15.75" customHeight="1" s="46">
      <c r="A58" s="2" t="n"/>
      <c r="B58" s="2" t="n"/>
      <c r="C58" s="2" t="n"/>
      <c r="D58" s="2" t="n"/>
      <c r="E58" s="2" t="n"/>
      <c r="F58" s="2" t="n"/>
      <c r="G58" s="2" t="n"/>
    </row>
    <row r="59" ht="15.75" customHeight="1" s="46">
      <c r="A59" s="2" t="n"/>
      <c r="B59" s="2" t="n"/>
      <c r="C59" s="2" t="n"/>
      <c r="D59" s="2" t="n"/>
      <c r="E59" s="2" t="n"/>
      <c r="F59" s="2" t="n"/>
      <c r="G59" s="2" t="n"/>
    </row>
    <row r="60" ht="15.75" customHeight="1" s="46">
      <c r="A60" s="2" t="n"/>
      <c r="B60" s="2" t="n"/>
      <c r="C60" s="2" t="n"/>
      <c r="D60" s="2" t="n"/>
      <c r="E60" s="2" t="n"/>
      <c r="F60" s="2" t="n"/>
      <c r="G60" s="2" t="n"/>
    </row>
    <row r="61" ht="15.75" customHeight="1" s="46">
      <c r="A61" s="2" t="n"/>
      <c r="B61" s="2" t="n"/>
      <c r="C61" s="2" t="n"/>
      <c r="D61" s="2" t="n"/>
      <c r="E61" s="2" t="n"/>
      <c r="F61" s="2" t="n"/>
      <c r="G61" s="2" t="n"/>
    </row>
    <row r="62" ht="15.75" customHeight="1" s="46">
      <c r="A62" s="2" t="n"/>
      <c r="B62" s="2" t="n"/>
      <c r="C62" s="2" t="n"/>
      <c r="D62" s="2" t="n"/>
      <c r="E62" s="2" t="n"/>
      <c r="F62" s="2" t="n"/>
      <c r="G62" s="2" t="n"/>
    </row>
    <row r="63" ht="15.75" customHeight="1" s="46">
      <c r="A63" s="2" t="n"/>
      <c r="B63" s="2" t="n"/>
      <c r="C63" s="2" t="n"/>
      <c r="D63" s="2" t="n"/>
      <c r="E63" s="2" t="n"/>
      <c r="F63" s="2" t="n"/>
      <c r="G63" s="2" t="n"/>
    </row>
    <row r="64" ht="15.75" customHeight="1" s="46">
      <c r="A64" s="2" t="n"/>
      <c r="B64" s="2" t="n"/>
      <c r="C64" s="2" t="n"/>
      <c r="D64" s="2" t="n"/>
      <c r="E64" s="2" t="n"/>
      <c r="F64" s="2" t="n"/>
      <c r="G64" s="2" t="n"/>
    </row>
    <row r="65" ht="15.75" customHeight="1" s="46">
      <c r="A65" s="2" t="n"/>
      <c r="B65" s="2" t="n"/>
      <c r="C65" s="2" t="n"/>
      <c r="D65" s="2" t="n"/>
      <c r="E65" s="2" t="n"/>
      <c r="F65" s="2" t="n"/>
      <c r="G65" s="2" t="n"/>
    </row>
    <row r="66" ht="15.75" customHeight="1" s="46">
      <c r="A66" s="2" t="n"/>
      <c r="B66" s="2" t="n"/>
      <c r="C66" s="2" t="n"/>
      <c r="D66" s="2" t="n"/>
      <c r="E66" s="2" t="n"/>
      <c r="F66" s="2" t="n"/>
      <c r="G66" s="2" t="n"/>
    </row>
    <row r="67" ht="15.75" customHeight="1" s="46">
      <c r="A67" s="2" t="n"/>
      <c r="B67" s="2" t="n"/>
      <c r="C67" s="2" t="n"/>
      <c r="D67" s="2" t="n"/>
      <c r="E67" s="2" t="n"/>
      <c r="F67" s="2" t="n"/>
      <c r="G67" s="2" t="n"/>
    </row>
    <row r="68" ht="15.75" customHeight="1" s="46">
      <c r="A68" s="2" t="n"/>
      <c r="B68" s="2" t="n"/>
      <c r="C68" s="2" t="n"/>
      <c r="D68" s="2" t="n"/>
      <c r="E68" s="2" t="n"/>
      <c r="F68" s="2" t="n"/>
      <c r="G68" s="2" t="n"/>
    </row>
    <row r="69" ht="15.75" customHeight="1" s="46">
      <c r="A69" s="2" t="n"/>
      <c r="B69" s="2" t="n"/>
      <c r="C69" s="2" t="n"/>
      <c r="D69" s="2" t="n"/>
      <c r="E69" s="2" t="n"/>
      <c r="F69" s="2" t="n"/>
      <c r="G69" s="2" t="n"/>
    </row>
    <row r="70" ht="15.75" customHeight="1" s="46">
      <c r="A70" s="2" t="n"/>
      <c r="B70" s="2" t="n"/>
      <c r="C70" s="2" t="n"/>
      <c r="D70" s="2" t="n"/>
      <c r="E70" s="2" t="n"/>
      <c r="F70" s="2" t="n"/>
      <c r="G70" s="2" t="n"/>
    </row>
    <row r="71" ht="15.75" customHeight="1" s="46">
      <c r="A71" s="2" t="n"/>
      <c r="B71" s="2" t="n"/>
      <c r="C71" s="2" t="n"/>
      <c r="D71" s="2" t="n"/>
      <c r="E71" s="2" t="n"/>
      <c r="F71" s="2" t="n"/>
      <c r="G71" s="2" t="n"/>
    </row>
    <row r="72" ht="15.75" customHeight="1" s="46">
      <c r="A72" s="2" t="n"/>
      <c r="B72" s="2" t="n"/>
      <c r="C72" s="2" t="n"/>
      <c r="D72" s="2" t="n"/>
      <c r="E72" s="2" t="n"/>
      <c r="F72" s="2" t="n"/>
      <c r="G72" s="2" t="n"/>
    </row>
    <row r="73" ht="15.75" customHeight="1" s="46">
      <c r="A73" s="2" t="n"/>
      <c r="B73" s="2" t="n"/>
      <c r="C73" s="2" t="n"/>
      <c r="D73" s="2" t="n"/>
      <c r="E73" s="2" t="n"/>
      <c r="F73" s="2" t="n"/>
      <c r="G73" s="2" t="n"/>
    </row>
    <row r="74" ht="15.75" customHeight="1" s="46">
      <c r="A74" s="2" t="n"/>
      <c r="B74" s="2" t="n"/>
      <c r="C74" s="2" t="n"/>
      <c r="D74" s="2" t="n"/>
      <c r="E74" s="2" t="n"/>
      <c r="F74" s="2" t="n"/>
      <c r="G74" s="2" t="n"/>
    </row>
    <row r="75" ht="15.75" customHeight="1" s="46">
      <c r="A75" s="2" t="n"/>
      <c r="B75" s="2" t="n"/>
      <c r="C75" s="2" t="n"/>
      <c r="D75" s="2" t="n"/>
      <c r="E75" s="2" t="n"/>
      <c r="F75" s="2" t="n"/>
      <c r="G75" s="2" t="n"/>
    </row>
    <row r="76" ht="15.75" customHeight="1" s="46">
      <c r="A76" s="2" t="n"/>
      <c r="B76" s="2" t="n"/>
      <c r="C76" s="2" t="n"/>
      <c r="D76" s="2" t="n"/>
      <c r="E76" s="2" t="n"/>
      <c r="F76" s="2" t="n"/>
      <c r="G76" s="2" t="n"/>
    </row>
    <row r="77" ht="15.75" customHeight="1" s="46">
      <c r="A77" s="2" t="n"/>
      <c r="B77" s="2" t="n"/>
      <c r="C77" s="2" t="n"/>
      <c r="D77" s="2" t="n"/>
      <c r="E77" s="2" t="n"/>
      <c r="F77" s="2" t="n"/>
      <c r="G77" s="2" t="n"/>
    </row>
    <row r="78" ht="15.75" customHeight="1" s="46">
      <c r="A78" s="2" t="n"/>
      <c r="B78" s="2" t="n"/>
      <c r="C78" s="2" t="n"/>
      <c r="D78" s="2" t="n"/>
      <c r="E78" s="2" t="n"/>
      <c r="F78" s="2" t="n"/>
      <c r="G78" s="2" t="n"/>
    </row>
    <row r="79" ht="15.75" customHeight="1" s="46">
      <c r="A79" s="2" t="n"/>
      <c r="B79" s="2" t="n"/>
      <c r="C79" s="2" t="n"/>
      <c r="D79" s="2" t="n"/>
      <c r="E79" s="2" t="n"/>
      <c r="F79" s="2" t="n"/>
      <c r="G79" s="2" t="n"/>
    </row>
    <row r="80" ht="15.75" customHeight="1" s="46">
      <c r="A80" s="2" t="n"/>
      <c r="B80" s="2" t="n"/>
      <c r="C80" s="2" t="n"/>
      <c r="D80" s="2" t="n"/>
      <c r="E80" s="2" t="n"/>
      <c r="F80" s="2" t="n"/>
      <c r="G80" s="2" t="n"/>
    </row>
    <row r="81" ht="15.75" customHeight="1" s="46">
      <c r="A81" s="2" t="n"/>
      <c r="B81" s="2" t="n"/>
      <c r="C81" s="2" t="n"/>
      <c r="D81" s="2" t="n"/>
      <c r="E81" s="2" t="n"/>
      <c r="F81" s="2" t="n"/>
      <c r="G81" s="2" t="n"/>
    </row>
    <row r="82" ht="15.75" customHeight="1" s="46">
      <c r="A82" s="2" t="n"/>
      <c r="B82" s="2" t="n"/>
      <c r="C82" s="2" t="n"/>
      <c r="D82" s="2" t="n"/>
      <c r="E82" s="2" t="n"/>
      <c r="F82" s="2" t="n"/>
      <c r="G82" s="2" t="n"/>
    </row>
    <row r="83" ht="15.75" customHeight="1" s="46">
      <c r="A83" s="2" t="n"/>
      <c r="B83" s="2" t="n"/>
      <c r="C83" s="2" t="n"/>
      <c r="D83" s="2" t="n"/>
      <c r="E83" s="2" t="n"/>
      <c r="F83" s="2" t="n"/>
      <c r="G83" s="2" t="n"/>
    </row>
    <row r="84" ht="15.75" customHeight="1" s="46">
      <c r="A84" s="2" t="n"/>
      <c r="B84" s="2" t="n"/>
      <c r="C84" s="2" t="n"/>
      <c r="D84" s="2" t="n"/>
      <c r="E84" s="2" t="n"/>
      <c r="F84" s="2" t="n"/>
      <c r="G84" s="2" t="n"/>
    </row>
    <row r="85" ht="15.75" customHeight="1" s="46">
      <c r="A85" s="2" t="n"/>
      <c r="B85" s="2" t="n"/>
      <c r="C85" s="2" t="n"/>
      <c r="D85" s="2" t="n"/>
      <c r="E85" s="2" t="n"/>
      <c r="F85" s="2" t="n"/>
      <c r="G85" s="2" t="n"/>
    </row>
    <row r="86" ht="15.75" customHeight="1" s="46">
      <c r="A86" s="2" t="n"/>
      <c r="B86" s="2" t="n"/>
      <c r="C86" s="2" t="n"/>
      <c r="D86" s="2" t="n"/>
      <c r="E86" s="2" t="n"/>
      <c r="F86" s="2" t="n"/>
      <c r="G86" s="2" t="n"/>
    </row>
    <row r="87" ht="15.75" customHeight="1" s="46">
      <c r="A87" s="2" t="n"/>
      <c r="B87" s="2" t="n"/>
      <c r="C87" s="2" t="n"/>
      <c r="D87" s="2" t="n"/>
      <c r="E87" s="2" t="n"/>
      <c r="F87" s="2" t="n"/>
      <c r="G87" s="2" t="n"/>
    </row>
    <row r="88" ht="15.75" customHeight="1" s="46">
      <c r="A88" s="2" t="n"/>
      <c r="B88" s="2" t="n"/>
      <c r="C88" s="2" t="n"/>
      <c r="D88" s="2" t="n"/>
      <c r="E88" s="2" t="n"/>
      <c r="F88" s="2" t="n"/>
      <c r="G88" s="2" t="n"/>
    </row>
    <row r="89" ht="15.75" customHeight="1" s="46">
      <c r="A89" s="2" t="n"/>
      <c r="B89" s="2" t="n"/>
      <c r="C89" s="2" t="n"/>
      <c r="D89" s="2" t="n"/>
      <c r="E89" s="2" t="n"/>
      <c r="F89" s="2" t="n"/>
      <c r="G89" s="2" t="n"/>
    </row>
    <row r="90" ht="15.75" customHeight="1" s="46">
      <c r="A90" s="2" t="n"/>
      <c r="B90" s="2" t="n"/>
      <c r="C90" s="2" t="n"/>
      <c r="D90" s="2" t="n"/>
      <c r="E90" s="2" t="n"/>
      <c r="F90" s="2" t="n"/>
      <c r="G90" s="2" t="n"/>
    </row>
    <row r="91" ht="15.75" customHeight="1" s="46">
      <c r="A91" s="2" t="n"/>
      <c r="B91" s="2" t="n"/>
      <c r="C91" s="2" t="n"/>
      <c r="D91" s="2" t="n"/>
      <c r="E91" s="2" t="n"/>
      <c r="F91" s="2" t="n"/>
      <c r="G91" s="2" t="n"/>
    </row>
    <row r="92" ht="15.75" customHeight="1" s="46">
      <c r="A92" s="2" t="n"/>
      <c r="B92" s="2" t="n"/>
      <c r="C92" s="2" t="n"/>
      <c r="D92" s="2" t="n"/>
      <c r="E92" s="2" t="n"/>
      <c r="F92" s="2" t="n"/>
      <c r="G92" s="2" t="n"/>
    </row>
    <row r="93" ht="15.75" customHeight="1" s="46">
      <c r="A93" s="2" t="n"/>
      <c r="B93" s="2" t="n"/>
      <c r="C93" s="2" t="n"/>
      <c r="D93" s="2" t="n"/>
      <c r="E93" s="2" t="n"/>
      <c r="F93" s="2" t="n"/>
      <c r="G93" s="2" t="n"/>
    </row>
    <row r="94" ht="15.75" customHeight="1" s="46">
      <c r="A94" s="2" t="n"/>
      <c r="B94" s="2" t="n"/>
      <c r="C94" s="2" t="n"/>
      <c r="D94" s="2" t="n"/>
      <c r="E94" s="2" t="n"/>
      <c r="F94" s="2" t="n"/>
      <c r="G94" s="2" t="n"/>
    </row>
    <row r="95" ht="15.75" customHeight="1" s="46">
      <c r="A95" s="2" t="n"/>
      <c r="B95" s="2" t="n"/>
      <c r="C95" s="2" t="n"/>
      <c r="D95" s="2" t="n"/>
      <c r="E95" s="2" t="n"/>
      <c r="F95" s="2" t="n"/>
      <c r="G95" s="2" t="n"/>
    </row>
    <row r="96" ht="15.75" customHeight="1" s="46">
      <c r="A96" s="2" t="n"/>
      <c r="B96" s="2" t="n"/>
      <c r="C96" s="2" t="n"/>
      <c r="D96" s="2" t="n"/>
      <c r="E96" s="2" t="n"/>
      <c r="F96" s="2" t="n"/>
      <c r="G96" s="2" t="n"/>
    </row>
    <row r="97" ht="15.75" customHeight="1" s="46">
      <c r="A97" s="2" t="n"/>
      <c r="B97" s="2" t="n"/>
      <c r="C97" s="2" t="n"/>
      <c r="D97" s="2" t="n"/>
      <c r="E97" s="2" t="n"/>
      <c r="F97" s="2" t="n"/>
      <c r="G97" s="2" t="n"/>
    </row>
    <row r="98" ht="15.75" customHeight="1" s="46">
      <c r="A98" s="2" t="n"/>
      <c r="B98" s="2" t="n"/>
      <c r="C98" s="2" t="n"/>
      <c r="D98" s="2" t="n"/>
      <c r="E98" s="2" t="n"/>
      <c r="F98" s="2" t="n"/>
      <c r="G98" s="2" t="n"/>
    </row>
    <row r="99" ht="15.75" customHeight="1" s="46">
      <c r="A99" s="2" t="n"/>
      <c r="B99" s="2" t="n"/>
      <c r="C99" s="2" t="n"/>
      <c r="D99" s="2" t="n"/>
      <c r="E99" s="2" t="n"/>
      <c r="F99" s="2" t="n"/>
      <c r="G99" s="2" t="n"/>
    </row>
    <row r="100" ht="15.75" customHeight="1" s="46">
      <c r="A100" s="2" t="n"/>
      <c r="B100" s="2" t="n"/>
      <c r="C100" s="2" t="n"/>
      <c r="D100" s="2" t="n"/>
      <c r="E100" s="2" t="n"/>
      <c r="F100" s="2" t="n"/>
      <c r="G100" s="2" t="n"/>
    </row>
    <row r="101" ht="15.75" customHeight="1" s="46">
      <c r="A101" s="2" t="n"/>
      <c r="B101" s="2" t="n"/>
      <c r="C101" s="2" t="n"/>
      <c r="D101" s="2" t="n"/>
      <c r="E101" s="2" t="n"/>
      <c r="F101" s="2" t="n"/>
      <c r="G101" s="2" t="n"/>
    </row>
    <row r="102" ht="15.75" customHeight="1" s="46">
      <c r="A102" s="2" t="n"/>
      <c r="B102" s="2" t="n"/>
      <c r="C102" s="2" t="n"/>
      <c r="D102" s="2" t="n"/>
      <c r="E102" s="2" t="n"/>
      <c r="F102" s="2" t="n"/>
      <c r="G102" s="2" t="n"/>
    </row>
    <row r="103" ht="15.75" customHeight="1" s="46">
      <c r="A103" s="2" t="n"/>
      <c r="B103" s="2" t="n"/>
      <c r="C103" s="2" t="n"/>
      <c r="D103" s="2" t="n"/>
      <c r="E103" s="2" t="n"/>
      <c r="F103" s="2" t="n"/>
      <c r="G103" s="2" t="n"/>
    </row>
    <row r="104" ht="15.75" customHeight="1" s="46">
      <c r="A104" s="2" t="n"/>
      <c r="B104" s="2" t="n"/>
      <c r="C104" s="2" t="n"/>
      <c r="D104" s="2" t="n"/>
      <c r="E104" s="2" t="n"/>
      <c r="F104" s="2" t="n"/>
      <c r="G104" s="2" t="n"/>
    </row>
    <row r="105" ht="15.75" customHeight="1" s="46">
      <c r="A105" s="2" t="n"/>
      <c r="B105" s="2" t="n"/>
      <c r="C105" s="2" t="n"/>
      <c r="D105" s="2" t="n"/>
      <c r="E105" s="2" t="n"/>
      <c r="F105" s="2" t="n"/>
      <c r="G105" s="2" t="n"/>
    </row>
    <row r="106" ht="15.75" customHeight="1" s="46">
      <c r="A106" s="2" t="n"/>
      <c r="B106" s="2" t="n"/>
      <c r="C106" s="2" t="n"/>
      <c r="D106" s="2" t="n"/>
      <c r="E106" s="2" t="n"/>
      <c r="F106" s="2" t="n"/>
      <c r="G106" s="2" t="n"/>
    </row>
    <row r="107" ht="15.75" customHeight="1" s="46">
      <c r="A107" s="2" t="n"/>
      <c r="B107" s="2" t="n"/>
      <c r="C107" s="2" t="n"/>
      <c r="D107" s="2" t="n"/>
      <c r="E107" s="2" t="n"/>
      <c r="F107" s="2" t="n"/>
      <c r="G107" s="2" t="n"/>
    </row>
    <row r="108" ht="15.75" customHeight="1" s="46">
      <c r="A108" s="2" t="n"/>
      <c r="B108" s="2" t="n"/>
      <c r="C108" s="2" t="n"/>
      <c r="D108" s="2" t="n"/>
      <c r="E108" s="2" t="n"/>
      <c r="F108" s="2" t="n"/>
      <c r="G108" s="2" t="n"/>
    </row>
    <row r="109" ht="15.75" customHeight="1" s="46">
      <c r="A109" s="2" t="n"/>
      <c r="B109" s="2" t="n"/>
      <c r="C109" s="2" t="n"/>
      <c r="D109" s="2" t="n"/>
      <c r="E109" s="2" t="n"/>
      <c r="F109" s="2" t="n"/>
      <c r="G109" s="2" t="n"/>
    </row>
    <row r="110" ht="15.75" customHeight="1" s="46">
      <c r="A110" s="2" t="n"/>
      <c r="B110" s="2" t="n"/>
      <c r="C110" s="2" t="n"/>
      <c r="D110" s="2" t="n"/>
      <c r="E110" s="2" t="n"/>
      <c r="F110" s="2" t="n"/>
      <c r="G110" s="2" t="n"/>
    </row>
    <row r="111" ht="15.75" customHeight="1" s="46">
      <c r="A111" s="2" t="n"/>
      <c r="B111" s="2" t="n"/>
      <c r="C111" s="2" t="n"/>
      <c r="D111" s="2" t="n"/>
      <c r="E111" s="2" t="n"/>
      <c r="F111" s="2" t="n"/>
      <c r="G111" s="2" t="n"/>
    </row>
    <row r="112" ht="15.75" customHeight="1" s="46">
      <c r="A112" s="2" t="n"/>
      <c r="B112" s="2" t="n"/>
      <c r="C112" s="2" t="n"/>
      <c r="D112" s="2" t="n"/>
      <c r="E112" s="2" t="n"/>
      <c r="F112" s="2" t="n"/>
      <c r="G112" s="2" t="n"/>
    </row>
    <row r="113" ht="15.75" customHeight="1" s="46">
      <c r="A113" s="2" t="n"/>
      <c r="B113" s="2" t="n"/>
      <c r="C113" s="2" t="n"/>
      <c r="D113" s="2" t="n"/>
      <c r="E113" s="2" t="n"/>
      <c r="F113" s="2" t="n"/>
      <c r="G113" s="2" t="n"/>
    </row>
    <row r="114" ht="15.75" customHeight="1" s="46">
      <c r="A114" s="2" t="n"/>
      <c r="B114" s="2" t="n"/>
      <c r="C114" s="2" t="n"/>
      <c r="D114" s="2" t="n"/>
      <c r="E114" s="2" t="n"/>
      <c r="F114" s="2" t="n"/>
      <c r="G114" s="2" t="n"/>
    </row>
    <row r="115" ht="15.75" customHeight="1" s="46">
      <c r="A115" s="2" t="n"/>
      <c r="B115" s="2" t="n"/>
      <c r="C115" s="2" t="n"/>
      <c r="D115" s="2" t="n"/>
      <c r="E115" s="2" t="n"/>
      <c r="F115" s="2" t="n"/>
      <c r="G115" s="2" t="n"/>
    </row>
    <row r="116" ht="15.75" customHeight="1" s="46">
      <c r="A116" s="2" t="n"/>
      <c r="B116" s="2" t="n"/>
      <c r="C116" s="2" t="n"/>
      <c r="D116" s="2" t="n"/>
      <c r="E116" s="2" t="n"/>
      <c r="F116" s="2" t="n"/>
      <c r="G116" s="2" t="n"/>
    </row>
    <row r="117" ht="15.75" customHeight="1" s="46">
      <c r="A117" s="2" t="n"/>
      <c r="B117" s="2" t="n"/>
      <c r="C117" s="2" t="n"/>
      <c r="D117" s="2" t="n"/>
      <c r="E117" s="2" t="n"/>
      <c r="F117" s="2" t="n"/>
      <c r="G117" s="2" t="n"/>
    </row>
    <row r="118" ht="15.75" customHeight="1" s="46">
      <c r="A118" s="2" t="n"/>
      <c r="B118" s="2" t="n"/>
      <c r="C118" s="2" t="n"/>
      <c r="D118" s="2" t="n"/>
      <c r="E118" s="2" t="n"/>
      <c r="F118" s="2" t="n"/>
      <c r="G118" s="2" t="n"/>
    </row>
    <row r="119" ht="15.75" customHeight="1" s="46">
      <c r="A119" s="2" t="n"/>
      <c r="B119" s="2" t="n"/>
      <c r="C119" s="2" t="n"/>
      <c r="D119" s="2" t="n"/>
      <c r="E119" s="2" t="n"/>
      <c r="F119" s="2" t="n"/>
      <c r="G119" s="2" t="n"/>
    </row>
    <row r="120" ht="15.75" customHeight="1" s="46">
      <c r="A120" s="2" t="n"/>
      <c r="B120" s="2" t="n"/>
      <c r="C120" s="2" t="n"/>
      <c r="D120" s="2" t="n"/>
      <c r="E120" s="2" t="n"/>
      <c r="F120" s="2" t="n"/>
      <c r="G120" s="2" t="n"/>
    </row>
    <row r="121" ht="15.75" customHeight="1" s="46">
      <c r="A121" s="2" t="n"/>
      <c r="B121" s="2" t="n"/>
      <c r="C121" s="2" t="n"/>
      <c r="D121" s="2" t="n"/>
      <c r="E121" s="2" t="n"/>
      <c r="F121" s="2" t="n"/>
      <c r="G121" s="2" t="n"/>
    </row>
    <row r="122" ht="15.75" customHeight="1" s="46">
      <c r="A122" s="2" t="n"/>
      <c r="B122" s="2" t="n"/>
      <c r="C122" s="2" t="n"/>
      <c r="D122" s="2" t="n"/>
      <c r="E122" s="2" t="n"/>
      <c r="F122" s="2" t="n"/>
      <c r="G122" s="2" t="n"/>
    </row>
    <row r="123" ht="15.75" customHeight="1" s="46">
      <c r="A123" s="2" t="n"/>
      <c r="B123" s="2" t="n"/>
      <c r="C123" s="2" t="n"/>
      <c r="D123" s="2" t="n"/>
      <c r="E123" s="2" t="n"/>
      <c r="F123" s="2" t="n"/>
      <c r="G123" s="2" t="n"/>
    </row>
    <row r="124" ht="15.75" customHeight="1" s="46">
      <c r="A124" s="2" t="n"/>
      <c r="B124" s="2" t="n"/>
      <c r="C124" s="2" t="n"/>
      <c r="D124" s="2" t="n"/>
      <c r="E124" s="2" t="n"/>
      <c r="F124" s="2" t="n"/>
      <c r="G124" s="2" t="n"/>
    </row>
    <row r="125" ht="15.75" customHeight="1" s="46">
      <c r="A125" s="2" t="n"/>
      <c r="B125" s="2" t="n"/>
      <c r="C125" s="2" t="n"/>
      <c r="D125" s="2" t="n"/>
      <c r="E125" s="2" t="n"/>
      <c r="F125" s="2" t="n"/>
      <c r="G125" s="2" t="n"/>
    </row>
    <row r="126" ht="15.75" customHeight="1" s="46">
      <c r="A126" s="2" t="n"/>
      <c r="B126" s="2" t="n"/>
      <c r="C126" s="2" t="n"/>
      <c r="D126" s="2" t="n"/>
      <c r="E126" s="2" t="n"/>
      <c r="F126" s="2" t="n"/>
      <c r="G126" s="2" t="n"/>
    </row>
    <row r="127" ht="15.75" customHeight="1" s="46">
      <c r="A127" s="2" t="n"/>
      <c r="B127" s="2" t="n"/>
      <c r="C127" s="2" t="n"/>
      <c r="D127" s="2" t="n"/>
      <c r="E127" s="2" t="n"/>
      <c r="F127" s="2" t="n"/>
      <c r="G127" s="2" t="n"/>
    </row>
    <row r="128" ht="15.75" customHeight="1" s="46">
      <c r="A128" s="2" t="n"/>
      <c r="B128" s="2" t="n"/>
      <c r="C128" s="2" t="n"/>
      <c r="D128" s="2" t="n"/>
      <c r="E128" s="2" t="n"/>
      <c r="F128" s="2" t="n"/>
      <c r="G128" s="2" t="n"/>
    </row>
    <row r="129" ht="15.75" customHeight="1" s="46">
      <c r="A129" s="2" t="n"/>
      <c r="B129" s="2" t="n"/>
      <c r="C129" s="2" t="n"/>
      <c r="D129" s="2" t="n"/>
      <c r="E129" s="2" t="n"/>
      <c r="F129" s="2" t="n"/>
      <c r="G129" s="2" t="n"/>
    </row>
    <row r="130" ht="15.75" customHeight="1" s="46">
      <c r="A130" s="2" t="n"/>
      <c r="B130" s="2" t="n"/>
      <c r="C130" s="2" t="n"/>
      <c r="D130" s="2" t="n"/>
      <c r="E130" s="2" t="n"/>
      <c r="F130" s="2" t="n"/>
      <c r="G130" s="2" t="n"/>
    </row>
    <row r="131" ht="15.75" customHeight="1" s="46">
      <c r="A131" s="2" t="n"/>
      <c r="B131" s="2" t="n"/>
      <c r="C131" s="2" t="n"/>
      <c r="D131" s="2" t="n"/>
      <c r="E131" s="2" t="n"/>
      <c r="F131" s="2" t="n"/>
      <c r="G131" s="2" t="n"/>
    </row>
    <row r="132" ht="15.75" customHeight="1" s="46">
      <c r="A132" s="2" t="n"/>
      <c r="B132" s="2" t="n"/>
      <c r="C132" s="2" t="n"/>
      <c r="D132" s="2" t="n"/>
      <c r="E132" s="2" t="n"/>
      <c r="F132" s="2" t="n"/>
      <c r="G132" s="2" t="n"/>
    </row>
    <row r="133" ht="15.75" customHeight="1" s="46">
      <c r="A133" s="2" t="n"/>
      <c r="B133" s="2" t="n"/>
      <c r="C133" s="2" t="n"/>
      <c r="D133" s="2" t="n"/>
      <c r="E133" s="2" t="n"/>
      <c r="F133" s="2" t="n"/>
      <c r="G133" s="2" t="n"/>
    </row>
    <row r="134" ht="15.75" customHeight="1" s="46">
      <c r="A134" s="2" t="n"/>
      <c r="B134" s="2" t="n"/>
      <c r="C134" s="2" t="n"/>
      <c r="D134" s="2" t="n"/>
      <c r="E134" s="2" t="n"/>
      <c r="F134" s="2" t="n"/>
      <c r="G134" s="2" t="n"/>
    </row>
    <row r="135" ht="15.75" customHeight="1" s="46">
      <c r="A135" s="2" t="n"/>
      <c r="B135" s="2" t="n"/>
      <c r="C135" s="2" t="n"/>
      <c r="D135" s="2" t="n"/>
      <c r="E135" s="2" t="n"/>
      <c r="F135" s="2" t="n"/>
      <c r="G135" s="2" t="n"/>
    </row>
    <row r="136" ht="15.75" customHeight="1" s="46">
      <c r="A136" s="2" t="n"/>
      <c r="B136" s="2" t="n"/>
      <c r="C136" s="2" t="n"/>
      <c r="D136" s="2" t="n"/>
      <c r="E136" s="2" t="n"/>
      <c r="F136" s="2" t="n"/>
      <c r="G136" s="2" t="n"/>
    </row>
    <row r="137" ht="15.75" customHeight="1" s="46">
      <c r="A137" s="2" t="n"/>
      <c r="B137" s="2" t="n"/>
      <c r="C137" s="2" t="n"/>
      <c r="D137" s="2" t="n"/>
      <c r="E137" s="2" t="n"/>
      <c r="F137" s="2" t="n"/>
      <c r="G137" s="2" t="n"/>
    </row>
    <row r="138" ht="15.75" customHeight="1" s="46">
      <c r="A138" s="2" t="n"/>
      <c r="B138" s="2" t="n"/>
      <c r="C138" s="2" t="n"/>
      <c r="D138" s="2" t="n"/>
      <c r="E138" s="2" t="n"/>
      <c r="F138" s="2" t="n"/>
      <c r="G138" s="2" t="n"/>
    </row>
    <row r="139" ht="15.75" customHeight="1" s="46">
      <c r="A139" s="2" t="n"/>
      <c r="B139" s="2" t="n"/>
      <c r="C139" s="2" t="n"/>
      <c r="D139" s="2" t="n"/>
      <c r="E139" s="2" t="n"/>
      <c r="F139" s="2" t="n"/>
      <c r="G139" s="2" t="n"/>
    </row>
    <row r="140" ht="15.75" customHeight="1" s="46">
      <c r="A140" s="2" t="n"/>
      <c r="B140" s="2" t="n"/>
      <c r="C140" s="2" t="n"/>
      <c r="D140" s="2" t="n"/>
      <c r="E140" s="2" t="n"/>
      <c r="F140" s="2" t="n"/>
      <c r="G140" s="2" t="n"/>
    </row>
    <row r="141" ht="15.75" customHeight="1" s="46">
      <c r="A141" s="2" t="n"/>
      <c r="B141" s="2" t="n"/>
      <c r="C141" s="2" t="n"/>
      <c r="D141" s="2" t="n"/>
      <c r="E141" s="2" t="n"/>
      <c r="F141" s="2" t="n"/>
      <c r="G141" s="2" t="n"/>
    </row>
    <row r="142" ht="15.75" customHeight="1" s="46">
      <c r="A142" s="2" t="n"/>
      <c r="B142" s="2" t="n"/>
      <c r="C142" s="2" t="n"/>
      <c r="D142" s="2" t="n"/>
      <c r="E142" s="2" t="n"/>
      <c r="F142" s="2" t="n"/>
      <c r="G142" s="2" t="n"/>
    </row>
    <row r="143" ht="15.75" customHeight="1" s="46">
      <c r="A143" s="2" t="n"/>
      <c r="B143" s="2" t="n"/>
      <c r="C143" s="2" t="n"/>
      <c r="D143" s="2" t="n"/>
      <c r="E143" s="2" t="n"/>
      <c r="F143" s="2" t="n"/>
      <c r="G143" s="2" t="n"/>
    </row>
    <row r="144" ht="15.75" customHeight="1" s="46">
      <c r="A144" s="2" t="n"/>
      <c r="B144" s="2" t="n"/>
      <c r="C144" s="2" t="n"/>
      <c r="D144" s="2" t="n"/>
      <c r="E144" s="2" t="n"/>
      <c r="F144" s="2" t="n"/>
      <c r="G144" s="2" t="n"/>
    </row>
    <row r="145" ht="15.75" customHeight="1" s="46">
      <c r="A145" s="2" t="n"/>
      <c r="B145" s="2" t="n"/>
      <c r="C145" s="2" t="n"/>
      <c r="D145" s="2" t="n"/>
      <c r="E145" s="2" t="n"/>
      <c r="F145" s="2" t="n"/>
      <c r="G145" s="2" t="n"/>
    </row>
    <row r="146" ht="15.75" customHeight="1" s="46">
      <c r="A146" s="2" t="n"/>
      <c r="B146" s="2" t="n"/>
      <c r="C146" s="2" t="n"/>
      <c r="D146" s="2" t="n"/>
      <c r="E146" s="2" t="n"/>
      <c r="F146" s="2" t="n"/>
      <c r="G146" s="2" t="n"/>
    </row>
    <row r="147" ht="15.75" customHeight="1" s="46">
      <c r="A147" s="2" t="n"/>
      <c r="B147" s="2" t="n"/>
      <c r="C147" s="2" t="n"/>
      <c r="D147" s="2" t="n"/>
      <c r="E147" s="2" t="n"/>
      <c r="F147" s="2" t="n"/>
      <c r="G147" s="2" t="n"/>
    </row>
    <row r="148" ht="15.75" customHeight="1" s="46">
      <c r="A148" s="2" t="n"/>
      <c r="B148" s="2" t="n"/>
      <c r="C148" s="2" t="n"/>
      <c r="D148" s="2" t="n"/>
      <c r="E148" s="2" t="n"/>
      <c r="F148" s="2" t="n"/>
      <c r="G148" s="2" t="n"/>
    </row>
    <row r="149" ht="15.75" customHeight="1" s="46">
      <c r="A149" s="2" t="n"/>
      <c r="B149" s="2" t="n"/>
      <c r="C149" s="2" t="n"/>
      <c r="D149" s="2" t="n"/>
      <c r="E149" s="2" t="n"/>
      <c r="F149" s="2" t="n"/>
      <c r="G149" s="2" t="n"/>
    </row>
    <row r="150" ht="15.75" customHeight="1" s="46">
      <c r="A150" s="2" t="n"/>
      <c r="B150" s="2" t="n"/>
      <c r="C150" s="2" t="n"/>
      <c r="D150" s="2" t="n"/>
      <c r="E150" s="2" t="n"/>
      <c r="F150" s="2" t="n"/>
      <c r="G150" s="2" t="n"/>
    </row>
    <row r="151" ht="15.75" customHeight="1" s="46">
      <c r="A151" s="2" t="n"/>
      <c r="B151" s="2" t="n"/>
      <c r="C151" s="2" t="n"/>
      <c r="D151" s="2" t="n"/>
      <c r="E151" s="2" t="n"/>
      <c r="F151" s="2" t="n"/>
      <c r="G151" s="2" t="n"/>
    </row>
    <row r="152" ht="15.75" customHeight="1" s="46">
      <c r="A152" s="2" t="n"/>
      <c r="B152" s="2" t="n"/>
      <c r="C152" s="2" t="n"/>
      <c r="D152" s="2" t="n"/>
      <c r="E152" s="2" t="n"/>
      <c r="F152" s="2" t="n"/>
      <c r="G152" s="2" t="n"/>
    </row>
    <row r="153" ht="15.75" customHeight="1" s="46">
      <c r="A153" s="2" t="n"/>
      <c r="B153" s="2" t="n"/>
      <c r="C153" s="2" t="n"/>
      <c r="D153" s="2" t="n"/>
      <c r="E153" s="2" t="n"/>
      <c r="F153" s="2" t="n"/>
      <c r="G153" s="2" t="n"/>
    </row>
    <row r="154" ht="15.75" customHeight="1" s="46">
      <c r="A154" s="2" t="n"/>
      <c r="B154" s="2" t="n"/>
      <c r="C154" s="2" t="n"/>
      <c r="D154" s="2" t="n"/>
      <c r="E154" s="2" t="n"/>
      <c r="F154" s="2" t="n"/>
      <c r="G154" s="2" t="n"/>
    </row>
    <row r="155" ht="15.75" customHeight="1" s="46">
      <c r="A155" s="2" t="n"/>
      <c r="B155" s="2" t="n"/>
      <c r="C155" s="2" t="n"/>
      <c r="D155" s="2" t="n"/>
      <c r="E155" s="2" t="n"/>
      <c r="F155" s="2" t="n"/>
      <c r="G155" s="2" t="n"/>
    </row>
    <row r="156" ht="15.75" customHeight="1" s="46">
      <c r="A156" s="2" t="n"/>
      <c r="B156" s="2" t="n"/>
      <c r="C156" s="2" t="n"/>
      <c r="D156" s="2" t="n"/>
      <c r="E156" s="2" t="n"/>
      <c r="F156" s="2" t="n"/>
      <c r="G156" s="2" t="n"/>
    </row>
    <row r="157" ht="15.75" customHeight="1" s="46">
      <c r="A157" s="2" t="n"/>
      <c r="B157" s="2" t="n"/>
      <c r="C157" s="2" t="n"/>
      <c r="D157" s="2" t="n"/>
      <c r="E157" s="2" t="n"/>
      <c r="F157" s="2" t="n"/>
      <c r="G157" s="2" t="n"/>
    </row>
    <row r="158" ht="15.75" customHeight="1" s="46">
      <c r="A158" s="2" t="n"/>
      <c r="B158" s="2" t="n"/>
      <c r="C158" s="2" t="n"/>
      <c r="D158" s="2" t="n"/>
      <c r="E158" s="2" t="n"/>
      <c r="F158" s="2" t="n"/>
      <c r="G158" s="2" t="n"/>
    </row>
    <row r="159" ht="15.75" customHeight="1" s="46">
      <c r="A159" s="2" t="n"/>
      <c r="B159" s="2" t="n"/>
      <c r="C159" s="2" t="n"/>
      <c r="D159" s="2" t="n"/>
      <c r="E159" s="2" t="n"/>
      <c r="F159" s="2" t="n"/>
      <c r="G159" s="2" t="n"/>
    </row>
    <row r="160" ht="15.75" customHeight="1" s="46">
      <c r="A160" s="2" t="n"/>
      <c r="B160" s="2" t="n"/>
      <c r="C160" s="2" t="n"/>
      <c r="D160" s="2" t="n"/>
      <c r="E160" s="2" t="n"/>
      <c r="F160" s="2" t="n"/>
      <c r="G160" s="2" t="n"/>
    </row>
    <row r="161" ht="15.75" customHeight="1" s="46">
      <c r="A161" s="2" t="n"/>
      <c r="B161" s="2" t="n"/>
      <c r="C161" s="2" t="n"/>
      <c r="D161" s="2" t="n"/>
      <c r="E161" s="2" t="n"/>
      <c r="F161" s="2" t="n"/>
      <c r="G161" s="2" t="n"/>
    </row>
    <row r="162" ht="15.75" customHeight="1" s="46">
      <c r="A162" s="2" t="n"/>
      <c r="B162" s="2" t="n"/>
      <c r="C162" s="2" t="n"/>
      <c r="D162" s="2" t="n"/>
      <c r="E162" s="2" t="n"/>
      <c r="F162" s="2" t="n"/>
      <c r="G162" s="2" t="n"/>
    </row>
    <row r="163" ht="15.75" customHeight="1" s="46">
      <c r="A163" s="2" t="n"/>
      <c r="B163" s="2" t="n"/>
      <c r="C163" s="2" t="n"/>
      <c r="D163" s="2" t="n"/>
      <c r="E163" s="2" t="n"/>
      <c r="F163" s="2" t="n"/>
      <c r="G163" s="2" t="n"/>
    </row>
    <row r="164" ht="15.75" customHeight="1" s="46">
      <c r="A164" s="2" t="n"/>
      <c r="B164" s="2" t="n"/>
      <c r="C164" s="2" t="n"/>
      <c r="D164" s="2" t="n"/>
      <c r="E164" s="2" t="n"/>
      <c r="F164" s="2" t="n"/>
      <c r="G164" s="2" t="n"/>
    </row>
    <row r="165" ht="15.75" customHeight="1" s="46">
      <c r="A165" s="2" t="n"/>
      <c r="B165" s="2" t="n"/>
      <c r="C165" s="2" t="n"/>
      <c r="D165" s="2" t="n"/>
      <c r="E165" s="2" t="n"/>
      <c r="F165" s="2" t="n"/>
      <c r="G165" s="2" t="n"/>
    </row>
    <row r="166" ht="15.75" customHeight="1" s="46">
      <c r="A166" s="2" t="n"/>
      <c r="B166" s="2" t="n"/>
      <c r="C166" s="2" t="n"/>
      <c r="D166" s="2" t="n"/>
      <c r="E166" s="2" t="n"/>
      <c r="F166" s="2" t="n"/>
      <c r="G166" s="2" t="n"/>
    </row>
    <row r="167" ht="15.75" customHeight="1" s="46">
      <c r="A167" s="2" t="n"/>
      <c r="B167" s="2" t="n"/>
      <c r="C167" s="2" t="n"/>
      <c r="D167" s="2" t="n"/>
      <c r="E167" s="2" t="n"/>
      <c r="F167" s="2" t="n"/>
      <c r="G167" s="2" t="n"/>
    </row>
    <row r="168" ht="15.75" customHeight="1" s="46">
      <c r="A168" s="2" t="n"/>
      <c r="B168" s="2" t="n"/>
      <c r="C168" s="2" t="n"/>
      <c r="D168" s="2" t="n"/>
      <c r="E168" s="2" t="n"/>
      <c r="F168" s="2" t="n"/>
      <c r="G168" s="2" t="n"/>
    </row>
    <row r="169" ht="15.75" customHeight="1" s="46">
      <c r="A169" s="2" t="n"/>
      <c r="B169" s="2" t="n"/>
      <c r="C169" s="2" t="n"/>
      <c r="D169" s="2" t="n"/>
      <c r="E169" s="2" t="n"/>
      <c r="F169" s="2" t="n"/>
      <c r="G169" s="2" t="n"/>
    </row>
    <row r="170" ht="15.75" customHeight="1" s="46">
      <c r="A170" s="2" t="n"/>
      <c r="B170" s="2" t="n"/>
      <c r="C170" s="2" t="n"/>
      <c r="D170" s="2" t="n"/>
      <c r="E170" s="2" t="n"/>
      <c r="F170" s="2" t="n"/>
      <c r="G170" s="2" t="n"/>
    </row>
    <row r="171" ht="15.75" customHeight="1" s="46">
      <c r="A171" s="2" t="n"/>
      <c r="B171" s="2" t="n"/>
      <c r="C171" s="2" t="n"/>
      <c r="D171" s="2" t="n"/>
      <c r="E171" s="2" t="n"/>
      <c r="F171" s="2" t="n"/>
      <c r="G171" s="2" t="n"/>
    </row>
    <row r="172" ht="15.75" customHeight="1" s="46">
      <c r="A172" s="2" t="n"/>
      <c r="B172" s="2" t="n"/>
      <c r="C172" s="2" t="n"/>
      <c r="D172" s="2" t="n"/>
      <c r="E172" s="2" t="n"/>
      <c r="F172" s="2" t="n"/>
      <c r="G172" s="2" t="n"/>
    </row>
    <row r="173" ht="15.75" customHeight="1" s="46">
      <c r="A173" s="2" t="n"/>
      <c r="B173" s="2" t="n"/>
      <c r="C173" s="2" t="n"/>
      <c r="D173" s="2" t="n"/>
      <c r="E173" s="2" t="n"/>
      <c r="F173" s="2" t="n"/>
      <c r="G173" s="2" t="n"/>
    </row>
    <row r="174" ht="15.75" customHeight="1" s="46">
      <c r="A174" s="2" t="n"/>
      <c r="B174" s="2" t="n"/>
      <c r="C174" s="2" t="n"/>
      <c r="D174" s="2" t="n"/>
      <c r="E174" s="2" t="n"/>
      <c r="F174" s="2" t="n"/>
      <c r="G174" s="2" t="n"/>
    </row>
    <row r="175" ht="15.75" customHeight="1" s="46">
      <c r="A175" s="2" t="n"/>
      <c r="B175" s="2" t="n"/>
      <c r="C175" s="2" t="n"/>
      <c r="D175" s="2" t="n"/>
      <c r="E175" s="2" t="n"/>
      <c r="F175" s="2" t="n"/>
      <c r="G175" s="2" t="n"/>
    </row>
    <row r="176" ht="15.75" customHeight="1" s="46">
      <c r="A176" s="2" t="n"/>
      <c r="B176" s="2" t="n"/>
      <c r="C176" s="2" t="n"/>
      <c r="D176" s="2" t="n"/>
      <c r="E176" s="2" t="n"/>
      <c r="F176" s="2" t="n"/>
      <c r="G176" s="2" t="n"/>
    </row>
    <row r="177" ht="15.75" customHeight="1" s="46">
      <c r="A177" s="2" t="n"/>
      <c r="B177" s="2" t="n"/>
      <c r="C177" s="2" t="n"/>
      <c r="D177" s="2" t="n"/>
      <c r="E177" s="2" t="n"/>
      <c r="F177" s="2" t="n"/>
      <c r="G177" s="2" t="n"/>
    </row>
    <row r="178" ht="15.75" customHeight="1" s="46">
      <c r="A178" s="2" t="n"/>
      <c r="B178" s="2" t="n"/>
      <c r="C178" s="2" t="n"/>
      <c r="D178" s="2" t="n"/>
      <c r="E178" s="2" t="n"/>
      <c r="F178" s="2" t="n"/>
      <c r="G178" s="2" t="n"/>
    </row>
    <row r="179" ht="15.75" customHeight="1" s="46">
      <c r="A179" s="2" t="n"/>
      <c r="B179" s="2" t="n"/>
      <c r="C179" s="2" t="n"/>
      <c r="D179" s="2" t="n"/>
      <c r="E179" s="2" t="n"/>
      <c r="F179" s="2" t="n"/>
      <c r="G179" s="2" t="n"/>
    </row>
    <row r="180" ht="15.75" customHeight="1" s="46">
      <c r="A180" s="2" t="n"/>
      <c r="B180" s="2" t="n"/>
      <c r="C180" s="2" t="n"/>
      <c r="D180" s="2" t="n"/>
      <c r="E180" s="2" t="n"/>
      <c r="F180" s="2" t="n"/>
      <c r="G180" s="2" t="n"/>
    </row>
    <row r="181" ht="15.75" customHeight="1" s="46">
      <c r="A181" s="2" t="n"/>
      <c r="B181" s="2" t="n"/>
      <c r="C181" s="2" t="n"/>
      <c r="D181" s="2" t="n"/>
      <c r="E181" s="2" t="n"/>
      <c r="F181" s="2" t="n"/>
      <c r="G181" s="2" t="n"/>
    </row>
    <row r="182" ht="15.75" customHeight="1" s="46">
      <c r="A182" s="2" t="n"/>
      <c r="B182" s="2" t="n"/>
      <c r="C182" s="2" t="n"/>
      <c r="D182" s="2" t="n"/>
      <c r="E182" s="2" t="n"/>
      <c r="F182" s="2" t="n"/>
      <c r="G182" s="2" t="n"/>
    </row>
    <row r="183" ht="15.75" customHeight="1" s="46">
      <c r="A183" s="2" t="n"/>
      <c r="B183" s="2" t="n"/>
      <c r="C183" s="2" t="n"/>
      <c r="D183" s="2" t="n"/>
      <c r="E183" s="2" t="n"/>
      <c r="F183" s="2" t="n"/>
      <c r="G183" s="2" t="n"/>
    </row>
    <row r="184" ht="15.75" customHeight="1" s="46">
      <c r="A184" s="2" t="n"/>
      <c r="B184" s="2" t="n"/>
      <c r="C184" s="2" t="n"/>
      <c r="D184" s="2" t="n"/>
      <c r="E184" s="2" t="n"/>
      <c r="F184" s="2" t="n"/>
      <c r="G184" s="2" t="n"/>
    </row>
    <row r="185" ht="15.75" customHeight="1" s="46">
      <c r="A185" s="2" t="n"/>
      <c r="B185" s="2" t="n"/>
      <c r="C185" s="2" t="n"/>
      <c r="D185" s="2" t="n"/>
      <c r="E185" s="2" t="n"/>
      <c r="F185" s="2" t="n"/>
      <c r="G185" s="2" t="n"/>
    </row>
    <row r="186" ht="15.75" customHeight="1" s="46">
      <c r="A186" s="2" t="n"/>
      <c r="B186" s="2" t="n"/>
      <c r="C186" s="2" t="n"/>
      <c r="D186" s="2" t="n"/>
      <c r="E186" s="2" t="n"/>
      <c r="F186" s="2" t="n"/>
      <c r="G186" s="2" t="n"/>
    </row>
    <row r="187" ht="15.75" customHeight="1" s="46">
      <c r="A187" s="2" t="n"/>
      <c r="B187" s="2" t="n"/>
      <c r="C187" s="2" t="n"/>
      <c r="D187" s="2" t="n"/>
      <c r="E187" s="2" t="n"/>
      <c r="F187" s="2" t="n"/>
      <c r="G187" s="2" t="n"/>
    </row>
    <row r="188" ht="15.75" customHeight="1" s="46">
      <c r="A188" s="2" t="n"/>
      <c r="B188" s="2" t="n"/>
      <c r="C188" s="2" t="n"/>
      <c r="D188" s="2" t="n"/>
      <c r="E188" s="2" t="n"/>
      <c r="F188" s="2" t="n"/>
      <c r="G188" s="2" t="n"/>
    </row>
    <row r="189" ht="15.75" customHeight="1" s="46">
      <c r="A189" s="2" t="n"/>
      <c r="B189" s="2" t="n"/>
      <c r="C189" s="2" t="n"/>
      <c r="D189" s="2" t="n"/>
      <c r="E189" s="2" t="n"/>
      <c r="F189" s="2" t="n"/>
      <c r="G189" s="2" t="n"/>
    </row>
    <row r="190" ht="15.75" customHeight="1" s="46">
      <c r="A190" s="2" t="n"/>
      <c r="B190" s="2" t="n"/>
      <c r="C190" s="2" t="n"/>
      <c r="D190" s="2" t="n"/>
      <c r="E190" s="2" t="n"/>
      <c r="F190" s="2" t="n"/>
      <c r="G190" s="2" t="n"/>
    </row>
    <row r="191" ht="15.75" customHeight="1" s="46">
      <c r="A191" s="2" t="n"/>
      <c r="B191" s="2" t="n"/>
      <c r="C191" s="2" t="n"/>
      <c r="D191" s="2" t="n"/>
      <c r="E191" s="2" t="n"/>
      <c r="F191" s="2" t="n"/>
      <c r="G191" s="2" t="n"/>
    </row>
    <row r="192" ht="15.75" customHeight="1" s="46">
      <c r="A192" s="2" t="n"/>
      <c r="B192" s="2" t="n"/>
      <c r="C192" s="2" t="n"/>
      <c r="D192" s="2" t="n"/>
      <c r="E192" s="2" t="n"/>
      <c r="F192" s="2" t="n"/>
      <c r="G192" s="2" t="n"/>
    </row>
    <row r="193" ht="15.75" customHeight="1" s="46">
      <c r="A193" s="2" t="n"/>
      <c r="B193" s="2" t="n"/>
      <c r="C193" s="2" t="n"/>
      <c r="D193" s="2" t="n"/>
      <c r="E193" s="2" t="n"/>
      <c r="F193" s="2" t="n"/>
      <c r="G193" s="2" t="n"/>
    </row>
    <row r="194" ht="15.75" customHeight="1" s="46">
      <c r="A194" s="2" t="n"/>
      <c r="B194" s="2" t="n"/>
      <c r="C194" s="2" t="n"/>
      <c r="D194" s="2" t="n"/>
      <c r="E194" s="2" t="n"/>
      <c r="F194" s="2" t="n"/>
      <c r="G194" s="2" t="n"/>
    </row>
    <row r="195" ht="15.75" customHeight="1" s="46">
      <c r="A195" s="2" t="n"/>
      <c r="B195" s="2" t="n"/>
      <c r="C195" s="2" t="n"/>
      <c r="D195" s="2" t="n"/>
      <c r="E195" s="2" t="n"/>
      <c r="F195" s="2" t="n"/>
      <c r="G195" s="2" t="n"/>
    </row>
    <row r="196" ht="15.75" customHeight="1" s="46">
      <c r="A196" s="2" t="n"/>
      <c r="B196" s="2" t="n"/>
      <c r="C196" s="2" t="n"/>
      <c r="D196" s="2" t="n"/>
      <c r="E196" s="2" t="n"/>
      <c r="F196" s="2" t="n"/>
      <c r="G196" s="2" t="n"/>
    </row>
    <row r="197" ht="15.75" customHeight="1" s="46">
      <c r="A197" s="2" t="n"/>
      <c r="B197" s="2" t="n"/>
      <c r="C197" s="2" t="n"/>
      <c r="D197" s="2" t="n"/>
      <c r="E197" s="2" t="n"/>
      <c r="F197" s="2" t="n"/>
      <c r="G197" s="2" t="n"/>
    </row>
    <row r="198" ht="15.75" customHeight="1" s="46">
      <c r="A198" s="2" t="n"/>
      <c r="B198" s="2" t="n"/>
      <c r="C198" s="2" t="n"/>
      <c r="D198" s="2" t="n"/>
      <c r="E198" s="2" t="n"/>
      <c r="F198" s="2" t="n"/>
      <c r="G198" s="2" t="n"/>
    </row>
    <row r="199" ht="15.75" customHeight="1" s="46">
      <c r="A199" s="2" t="n"/>
      <c r="B199" s="2" t="n"/>
      <c r="C199" s="2" t="n"/>
      <c r="D199" s="2" t="n"/>
      <c r="E199" s="2" t="n"/>
      <c r="F199" s="2" t="n"/>
      <c r="G199" s="2" t="n"/>
    </row>
    <row r="200" ht="15.75" customHeight="1" s="46">
      <c r="A200" s="2" t="n"/>
      <c r="B200" s="2" t="n"/>
      <c r="C200" s="2" t="n"/>
      <c r="D200" s="2" t="n"/>
      <c r="E200" s="2" t="n"/>
      <c r="F200" s="2" t="n"/>
      <c r="G200" s="2" t="n"/>
    </row>
    <row r="201" ht="15.75" customHeight="1" s="46">
      <c r="A201" s="2" t="n"/>
      <c r="B201" s="2" t="n"/>
      <c r="C201" s="2" t="n"/>
      <c r="D201" s="2" t="n"/>
      <c r="E201" s="2" t="n"/>
      <c r="F201" s="2" t="n"/>
      <c r="G201" s="2" t="n"/>
    </row>
    <row r="202" ht="15.75" customHeight="1" s="46">
      <c r="A202" s="2" t="n"/>
      <c r="B202" s="2" t="n"/>
      <c r="C202" s="2" t="n"/>
      <c r="D202" s="2" t="n"/>
      <c r="E202" s="2" t="n"/>
      <c r="F202" s="2" t="n"/>
      <c r="G202" s="2" t="n"/>
    </row>
    <row r="203" ht="15.75" customHeight="1" s="46">
      <c r="A203" s="2" t="n"/>
      <c r="B203" s="2" t="n"/>
      <c r="C203" s="2" t="n"/>
      <c r="D203" s="2" t="n"/>
      <c r="E203" s="2" t="n"/>
      <c r="F203" s="2" t="n"/>
      <c r="G203" s="2" t="n"/>
    </row>
    <row r="204" ht="15.75" customHeight="1" s="46">
      <c r="A204" s="2" t="n"/>
      <c r="B204" s="2" t="n"/>
      <c r="C204" s="2" t="n"/>
      <c r="D204" s="2" t="n"/>
      <c r="E204" s="2" t="n"/>
      <c r="F204" s="2" t="n"/>
      <c r="G204" s="2" t="n"/>
    </row>
    <row r="205" ht="15.75" customHeight="1" s="46">
      <c r="A205" s="2" t="n"/>
      <c r="B205" s="2" t="n"/>
      <c r="C205" s="2" t="n"/>
      <c r="D205" s="2" t="n"/>
      <c r="E205" s="2" t="n"/>
      <c r="F205" s="2" t="n"/>
      <c r="G205" s="2" t="n"/>
    </row>
    <row r="206" ht="15.75" customHeight="1" s="46">
      <c r="A206" s="2" t="n"/>
      <c r="B206" s="2" t="n"/>
      <c r="C206" s="2" t="n"/>
      <c r="D206" s="2" t="n"/>
      <c r="E206" s="2" t="n"/>
      <c r="F206" s="2" t="n"/>
      <c r="G206" s="2" t="n"/>
    </row>
    <row r="207" ht="15.75" customHeight="1" s="46">
      <c r="A207" s="2" t="n"/>
      <c r="B207" s="2" t="n"/>
      <c r="C207" s="2" t="n"/>
      <c r="D207" s="2" t="n"/>
      <c r="E207" s="2" t="n"/>
      <c r="F207" s="2" t="n"/>
      <c r="G207" s="2" t="n"/>
    </row>
    <row r="208" ht="15.75" customHeight="1" s="46">
      <c r="A208" s="2" t="n"/>
      <c r="B208" s="2" t="n"/>
      <c r="C208" s="2" t="n"/>
      <c r="D208" s="2" t="n"/>
      <c r="E208" s="2" t="n"/>
      <c r="F208" s="2" t="n"/>
      <c r="G208" s="2" t="n"/>
    </row>
    <row r="209" ht="15.75" customHeight="1" s="46">
      <c r="A209" s="2" t="n"/>
      <c r="B209" s="2" t="n"/>
      <c r="C209" s="2" t="n"/>
      <c r="D209" s="2" t="n"/>
      <c r="E209" s="2" t="n"/>
      <c r="F209" s="2" t="n"/>
      <c r="G209" s="2" t="n"/>
    </row>
    <row r="210" ht="15.75" customHeight="1" s="46">
      <c r="A210" s="2" t="n"/>
      <c r="B210" s="2" t="n"/>
      <c r="C210" s="2" t="n"/>
      <c r="D210" s="2" t="n"/>
      <c r="E210" s="2" t="n"/>
      <c r="F210" s="2" t="n"/>
      <c r="G210" s="2" t="n"/>
    </row>
    <row r="211" ht="15.75" customHeight="1" s="46">
      <c r="A211" s="2" t="n"/>
      <c r="B211" s="2" t="n"/>
      <c r="C211" s="2" t="n"/>
      <c r="D211" s="2" t="n"/>
      <c r="E211" s="2" t="n"/>
      <c r="F211" s="2" t="n"/>
      <c r="G211" s="2" t="n"/>
    </row>
    <row r="212" ht="15.75" customHeight="1" s="46">
      <c r="A212" s="2" t="n"/>
      <c r="B212" s="2" t="n"/>
      <c r="C212" s="2" t="n"/>
      <c r="D212" s="2" t="n"/>
      <c r="E212" s="2" t="n"/>
      <c r="F212" s="2" t="n"/>
      <c r="G212" s="2" t="n"/>
    </row>
    <row r="213" ht="15.75" customHeight="1" s="46">
      <c r="A213" s="2" t="n"/>
      <c r="B213" s="2" t="n"/>
      <c r="C213" s="2" t="n"/>
      <c r="D213" s="2" t="n"/>
      <c r="E213" s="2" t="n"/>
      <c r="F213" s="2" t="n"/>
      <c r="G213" s="2" t="n"/>
    </row>
    <row r="214" ht="15.75" customHeight="1" s="46">
      <c r="A214" s="2" t="n"/>
      <c r="B214" s="2" t="n"/>
      <c r="C214" s="2" t="n"/>
      <c r="D214" s="2" t="n"/>
      <c r="E214" s="2" t="n"/>
      <c r="F214" s="2" t="n"/>
      <c r="G214" s="2" t="n"/>
    </row>
    <row r="215" ht="15.75" customHeight="1" s="46">
      <c r="A215" s="2" t="n"/>
      <c r="B215" s="2" t="n"/>
      <c r="C215" s="2" t="n"/>
      <c r="D215" s="2" t="n"/>
      <c r="E215" s="2" t="n"/>
      <c r="F215" s="2" t="n"/>
      <c r="G215" s="2" t="n"/>
    </row>
    <row r="216" ht="15.75" customHeight="1" s="46">
      <c r="A216" s="2" t="n"/>
      <c r="B216" s="2" t="n"/>
      <c r="C216" s="2" t="n"/>
      <c r="D216" s="2" t="n"/>
      <c r="E216" s="2" t="n"/>
      <c r="F216" s="2" t="n"/>
      <c r="G216" s="2" t="n"/>
    </row>
    <row r="217" ht="15.75" customHeight="1" s="46">
      <c r="A217" s="2" t="n"/>
      <c r="B217" s="2" t="n"/>
      <c r="C217" s="2" t="n"/>
      <c r="D217" s="2" t="n"/>
      <c r="E217" s="2" t="n"/>
      <c r="F217" s="2" t="n"/>
      <c r="G217" s="2" t="n"/>
    </row>
    <row r="218" ht="15.75" customHeight="1" s="46">
      <c r="A218" s="2" t="n"/>
      <c r="B218" s="2" t="n"/>
      <c r="C218" s="2" t="n"/>
      <c r="D218" s="2" t="n"/>
      <c r="E218" s="2" t="n"/>
      <c r="F218" s="2" t="n"/>
      <c r="G218" s="2" t="n"/>
    </row>
    <row r="219" ht="15.75" customHeight="1" s="46">
      <c r="A219" s="2" t="n"/>
      <c r="B219" s="2" t="n"/>
      <c r="C219" s="2" t="n"/>
      <c r="D219" s="2" t="n"/>
      <c r="E219" s="2" t="n"/>
      <c r="F219" s="2" t="n"/>
      <c r="G219" s="2" t="n"/>
    </row>
    <row r="220" ht="15.75" customHeight="1" s="46">
      <c r="A220" s="2" t="n"/>
      <c r="B220" s="2" t="n"/>
      <c r="C220" s="2" t="n"/>
      <c r="D220" s="2" t="n"/>
      <c r="E220" s="2" t="n"/>
      <c r="F220" s="2" t="n"/>
      <c r="G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4.xml><?xml version="1.0" encoding="utf-8"?>
<worksheet xmlns="http://schemas.openxmlformats.org/spreadsheetml/2006/main">
  <sheetPr>
    <outlinePr summaryBelow="1" summaryRight="1"/>
    <pageSetUpPr/>
  </sheetPr>
  <dimension ref="A1:I220"/>
  <sheetViews>
    <sheetView workbookViewId="0">
      <pane ySplit="4" topLeftCell="A5" activePane="bottomLeft" state="frozen"/>
      <selection pane="bottomLeft" activeCell="B6" sqref="B6"/>
    </sheetView>
  </sheetViews>
  <sheetFormatPr baseColWidth="8" defaultColWidth="14.43" defaultRowHeight="15" customHeight="1"/>
  <cols>
    <col width="20" customWidth="1" style="46" min="1" max="1"/>
    <col width="10" customWidth="1" style="46" min="2" max="2"/>
    <col width="34" customWidth="1" style="46" min="3" max="3"/>
    <col width="8" customWidth="1" style="46" min="4" max="4"/>
    <col width="40" customWidth="1" style="46" min="5" max="5"/>
    <col width="44" customWidth="1" style="46" min="6" max="6"/>
    <col width="14" customWidth="1" style="46" min="7" max="7"/>
    <col width="24" customWidth="1" style="46" min="8" max="8"/>
    <col width="40" customWidth="1" style="46" min="9" max="9"/>
  </cols>
  <sheetData>
    <row r="1" ht="17.25" customHeight="1" s="46">
      <c r="A1" s="1" t="inlineStr">
        <is>
          <t>Step 5: the Great Works</t>
        </is>
      </c>
      <c r="B1" s="2" t="n"/>
      <c r="C1" s="2" t="n"/>
      <c r="D1" s="2" t="n"/>
      <c r="E1" s="2" t="n"/>
      <c r="F1" s="2" t="n"/>
      <c r="G1" s="2" t="n"/>
      <c r="H1" s="2" t="n"/>
    </row>
    <row r="2" ht="15" customHeight="1" s="46">
      <c r="A2" s="3" t="inlineStr">
        <is>
          <t>One of each per town. Costs as you set them in 2 Costs.</t>
        </is>
      </c>
      <c r="B2" s="2" t="n"/>
      <c r="C2" s="2" t="n"/>
      <c r="D2" s="2" t="n"/>
      <c r="E2" s="2" t="n"/>
      <c r="F2" s="2" t="n"/>
      <c r="G2" s="2" t="n"/>
      <c r="H2" s="2" t="n"/>
    </row>
    <row r="3">
      <c r="A3" s="2" t="n"/>
      <c r="B3" s="2" t="n"/>
      <c r="C3" s="2" t="n"/>
      <c r="D3" s="2" t="n"/>
      <c r="E3" s="2" t="n"/>
      <c r="F3" s="2" t="n"/>
      <c r="G3" s="2" t="n"/>
      <c r="H3" s="2" t="n"/>
    </row>
    <row r="4" ht="34.5" customHeight="1" s="46">
      <c r="A4" s="9" t="inlineStr">
        <is>
          <t>Work</t>
        </is>
      </c>
      <c r="B4" s="9" t="inlineStr">
        <is>
          <t>Gate</t>
        </is>
      </c>
      <c r="C4" s="9" t="inlineStr">
        <is>
          <t>Cost</t>
        </is>
      </c>
      <c r="D4" s="9" t="inlineStr">
        <is>
          <t>Workers</t>
        </is>
      </c>
      <c r="E4" s="9" t="inlineStr">
        <is>
          <t>Gives today</t>
        </is>
      </c>
      <c r="F4" s="9" t="inlineStr">
        <is>
          <t>Proposed</t>
        </is>
      </c>
      <c r="G4" s="9" t="inlineStr">
        <is>
          <t>Counts for the Patrician House?</t>
        </is>
      </c>
      <c r="H4" s="9" t="inlineStr">
        <is>
          <t>Your notes</t>
        </is>
      </c>
      <c r="I4" s="9" t="inlineStr">
        <is>
          <t>My notes</t>
        </is>
      </c>
    </row>
    <row r="5" ht="13.5" customHeight="1" s="46">
      <c r="A5" s="7" t="inlineStr">
        <is>
          <t>Statue</t>
        </is>
      </c>
      <c r="B5" s="7" t="inlineStr">
        <is>
          <t>Town</t>
        </is>
      </c>
      <c r="C5" s="7" t="inlineStr">
        <is>
          <t>5 dressed stone, 1 tool, 50 coins</t>
        </is>
      </c>
      <c r="D5" s="7" t="n">
        <v>0</v>
      </c>
      <c r="E5" s="7" t="inlineStr">
        <is>
          <t>+1 prestige a month, beauty</t>
        </is>
      </c>
      <c r="F5" s="7" t="inlineStr">
        <is>
          <t>Same: the small monument.</t>
        </is>
      </c>
      <c r="G5" s="7" t="inlineStr">
        <is>
          <t>No</t>
        </is>
      </c>
      <c r="H5" s="45" t="n"/>
    </row>
    <row r="6" ht="27.75" customHeight="1" s="46">
      <c r="A6" s="7" t="inlineStr">
        <is>
          <t>Covered Market Hall</t>
        </is>
      </c>
      <c r="B6" s="7" t="inlineStr">
        <is>
          <t>Town</t>
        </is>
      </c>
      <c r="C6" s="7" t="inlineStr">
        <is>
          <t>6 planks, 20 dressed stone, 30 tiles, 50 coins</t>
        </is>
      </c>
      <c r="D6" s="7" t="n">
        <v>10</v>
      </c>
      <c r="E6" s="7" t="inlineStr">
        <is>
          <t>Ten stalls under one roof</t>
        </is>
      </c>
      <c r="F6" s="7" t="inlineStr">
        <is>
          <t>Same; stalls by crew (G20).</t>
        </is>
      </c>
      <c r="G6" s="7" t="inlineStr">
        <is>
          <t>Yes</t>
        </is>
      </c>
      <c r="H6" s="45" t="n"/>
    </row>
    <row r="7" ht="42" customHeight="1" s="46">
      <c r="A7" s="7" t="inlineStr">
        <is>
          <t>Bell Tower</t>
        </is>
      </c>
      <c r="B7" s="7" t="inlineStr">
        <is>
          <t>Borough</t>
        </is>
      </c>
      <c r="C7" s="7" t="inlineStr">
        <is>
          <t>5 planks, 30 stone, 10 dressed stone, 100 coins</t>
        </is>
      </c>
      <c r="D7" s="7" t="n">
        <v>0</v>
      </c>
      <c r="E7" s="7" t="inlineStr">
        <is>
          <t>+2 prestige a month</t>
        </is>
      </c>
      <c r="F7" s="13" t="inlineStr">
        <is>
          <t>Also: all work 2% faster (your answer).</t>
        </is>
      </c>
      <c r="G7" s="7" t="inlineStr">
        <is>
          <t>Yes</t>
        </is>
      </c>
      <c r="H7" s="45" t="inlineStr">
        <is>
          <t>Raids? no such thing</t>
        </is>
      </c>
      <c r="I7" s="7" t="inlineStr">
        <is>
          <t>There are two trouble events today, wolves and bandits; with the watch-tower role gone, the bell tower only speeds work.</t>
        </is>
      </c>
    </row>
    <row r="8" ht="27.75" customHeight="1" s="46">
      <c r="A8" s="7" t="inlineStr">
        <is>
          <t>Cathedral</t>
        </is>
      </c>
      <c r="B8" s="7" t="inlineStr">
        <is>
          <t>Borough</t>
        </is>
      </c>
      <c r="C8" s="7" t="inlineStr">
        <is>
          <t>45 dressed stone, 15 mortar, 8 stained glass, 6 tools, 250 coins</t>
        </is>
      </c>
      <c r="D8" s="7" t="n">
        <v>2</v>
      </c>
      <c r="E8" s="7" t="inlineStr">
        <is>
          <t>Serves as a church far and wide, +6 happiness, +3 prestige, +3 knowledge</t>
        </is>
      </c>
      <c r="F8" s="7" t="inlineStr">
        <is>
          <t>Same; its windows commission now needs stained glass.</t>
        </is>
      </c>
      <c r="G8" s="7" t="inlineStr">
        <is>
          <t>Yes</t>
        </is>
      </c>
      <c r="H8" s="45" t="inlineStr">
        <is>
          <t>Ok</t>
        </is>
      </c>
    </row>
    <row r="9" ht="42" customHeight="1" s="46">
      <c r="A9" s="7" t="inlineStr">
        <is>
          <t>University</t>
        </is>
      </c>
      <c r="B9" s="7" t="inlineStr">
        <is>
          <t>Borough</t>
        </is>
      </c>
      <c r="C9" s="7" t="inlineStr">
        <is>
          <t>30 planks, 20 dressed stone, 30 tiles, 10 books, 150 coins</t>
        </is>
      </c>
      <c r="D9" s="7" t="n">
        <v>3</v>
      </c>
      <c r="E9" s="7" t="inlineStr">
        <is>
          <t>8 knowledge and prestige while fed two books a month; +5% to every workplace</t>
        </is>
      </c>
      <c r="F9" s="7" t="inlineStr">
        <is>
          <t>Knowledge by crew (G20). Its 10 a month is most of the late surplus (5 Questions).</t>
        </is>
      </c>
      <c r="G9" s="7" t="inlineStr">
        <is>
          <t>Yes</t>
        </is>
      </c>
      <c r="H9" s="45" t="n"/>
    </row>
    <row r="10" ht="27.75" customHeight="1" s="46">
      <c r="A10" s="7" t="inlineStr">
        <is>
          <t>Guildhall</t>
        </is>
      </c>
      <c r="B10" s="7" t="inlineStr">
        <is>
          <t>City</t>
        </is>
      </c>
      <c r="C10" s="7" t="inlineStr">
        <is>
          <t>25 dressed stone, 40 tiles, 12 mortar, 6 stained glass, 400 coins</t>
        </is>
      </c>
      <c r="D10" s="7" t="n">
        <v>2</v>
      </c>
      <c r="E10" s="7" t="inlineStr">
        <is>
          <t>+4 prestige, exports fetch a fifth more</t>
        </is>
      </c>
      <c r="F10" s="7" t="inlineStr">
        <is>
          <t>Also: each charter costs a fifth less.</t>
        </is>
      </c>
      <c r="G10" s="7" t="inlineStr">
        <is>
          <t>Yes</t>
        </is>
      </c>
      <c r="H10" s="45" t="inlineStr">
        <is>
          <t>ok</t>
        </is>
      </c>
    </row>
    <row r="11">
      <c r="A11" s="2" t="inlineStr">
        <is>
          <t>Connection to the Royal Road</t>
        </is>
      </c>
      <c r="B11" s="2" t="inlineStr">
        <is>
          <t>Borough</t>
        </is>
      </c>
      <c r="C11" s="2" t="inlineStr">
        <is>
          <t xml:space="preserve">Buildable double square wide stone road that must connect two opposite sides of the map (bridges count tripe). </t>
        </is>
      </c>
      <c r="D11" s="2" t="n">
        <v>0</v>
      </c>
      <c r="E11" s="2" t="n"/>
      <c r="F11" s="2" t="inlineStr">
        <is>
          <t>movement along the royal road is 30% faster then in coblestone. Import factor reduced by 0.15 and export increase by 0.15</t>
        </is>
      </c>
      <c r="G11" s="2" t="inlineStr">
        <is>
          <t>No</t>
        </is>
      </c>
      <c r="H11" s="2" t="inlineStr">
        <is>
          <t>New</t>
        </is>
      </c>
      <c r="I11" s="7" t="inlineStr">
        <is>
          <t>Bridges triple the cost per tile. Built in one go along a path you draw from edge to edge? Or tile by tile until it connects? I'd do tile by tile, and the bonus starts once it links two opposite edges.</t>
        </is>
      </c>
    </row>
    <row r="12">
      <c r="A12" s="2" t="n"/>
      <c r="B12" s="2" t="n"/>
      <c r="C12" s="2" t="n"/>
      <c r="D12" s="2" t="n"/>
      <c r="E12" s="2" t="n"/>
      <c r="F12" s="2" t="n"/>
      <c r="G12" s="2" t="n"/>
      <c r="H12" s="2" t="n"/>
    </row>
    <row r="13">
      <c r="A13" s="2" t="n"/>
      <c r="B13" s="2" t="n"/>
      <c r="C13" s="2" t="n"/>
      <c r="D13" s="2" t="n"/>
      <c r="E13" s="2" t="n"/>
      <c r="F13" s="2" t="n"/>
      <c r="G13" s="2" t="n"/>
      <c r="H13" s="2" t="n"/>
    </row>
    <row r="14">
      <c r="A14" s="2" t="n"/>
      <c r="B14" s="2" t="n"/>
      <c r="C14" s="2" t="n"/>
      <c r="D14" s="2" t="n"/>
      <c r="E14" s="2" t="n"/>
      <c r="F14" s="2" t="n"/>
      <c r="G14" s="2" t="n"/>
      <c r="H14" s="2" t="n"/>
    </row>
    <row r="15">
      <c r="A15" s="2" t="n"/>
      <c r="B15" s="2" t="n"/>
      <c r="C15" s="2" t="n"/>
      <c r="D15" s="2" t="n"/>
      <c r="E15" s="2" t="n"/>
      <c r="F15" s="2" t="n"/>
      <c r="G15" s="2" t="n"/>
      <c r="H15" s="2" t="n"/>
    </row>
    <row r="16">
      <c r="A16" s="2" t="n"/>
      <c r="B16" s="2" t="n"/>
      <c r="C16" s="2" t="n"/>
      <c r="D16" s="2" t="n"/>
      <c r="E16" s="2" t="n"/>
      <c r="F16" s="2" t="n"/>
      <c r="G16" s="2" t="n"/>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ht="15.75" customHeight="1" s="46">
      <c r="A21" s="2" t="n"/>
      <c r="B21" s="2" t="n"/>
      <c r="C21" s="2" t="n"/>
      <c r="D21" s="2" t="n"/>
      <c r="E21" s="2" t="n"/>
      <c r="F21" s="2" t="n"/>
      <c r="G21" s="2" t="n"/>
      <c r="H21" s="2" t="n"/>
    </row>
    <row r="22" ht="15.75" customHeight="1" s="46">
      <c r="A22" s="2" t="n"/>
      <c r="B22" s="2" t="n"/>
      <c r="C22" s="2" t="n"/>
      <c r="D22" s="2" t="n"/>
      <c r="E22" s="2" t="n"/>
      <c r="F22" s="2" t="n"/>
      <c r="G22" s="2" t="n"/>
      <c r="H22" s="2" t="n"/>
    </row>
    <row r="23" ht="15.75" customHeight="1" s="46">
      <c r="A23" s="2" t="n"/>
      <c r="B23" s="2" t="n"/>
      <c r="C23" s="2" t="n"/>
      <c r="D23" s="2" t="n"/>
      <c r="E23" s="2" t="n"/>
      <c r="F23" s="2" t="n"/>
      <c r="G23" s="2" t="n"/>
      <c r="H23" s="2" t="n"/>
    </row>
    <row r="24" ht="15.75" customHeight="1" s="46">
      <c r="A24" s="2" t="n"/>
      <c r="B24" s="2" t="n"/>
      <c r="C24" s="2" t="n"/>
      <c r="D24" s="2" t="n"/>
      <c r="E24" s="2" t="n"/>
      <c r="F24" s="2" t="n"/>
      <c r="G24" s="2" t="n"/>
      <c r="H24" s="2" t="n"/>
    </row>
    <row r="25" ht="15.75" customHeight="1" s="46">
      <c r="A25" s="2" t="n"/>
      <c r="B25" s="2" t="n"/>
      <c r="C25" s="2" t="n"/>
      <c r="D25" s="2" t="n"/>
      <c r="E25" s="2" t="n"/>
      <c r="F25" s="2" t="n"/>
      <c r="G25" s="2" t="n"/>
      <c r="H25" s="2" t="n"/>
    </row>
    <row r="26" ht="15.75" customHeight="1" s="46">
      <c r="A26" s="2" t="n"/>
      <c r="B26" s="2" t="n"/>
      <c r="C26" s="2" t="n"/>
      <c r="D26" s="2" t="n"/>
      <c r="E26" s="2" t="n"/>
      <c r="F26" s="2" t="n"/>
      <c r="G26" s="2" t="n"/>
      <c r="H26" s="2" t="n"/>
    </row>
    <row r="27" ht="15.75" customHeight="1" s="46">
      <c r="A27" s="2" t="n"/>
      <c r="B27" s="2" t="n"/>
      <c r="C27" s="2" t="n"/>
      <c r="D27" s="2" t="n"/>
      <c r="E27" s="2" t="n"/>
      <c r="F27" s="2" t="n"/>
      <c r="G27" s="2" t="n"/>
      <c r="H27" s="2" t="n"/>
    </row>
    <row r="28" ht="15.75" customHeight="1" s="46">
      <c r="A28" s="2" t="n"/>
      <c r="B28" s="2" t="n"/>
      <c r="C28" s="2" t="n"/>
      <c r="D28" s="2" t="n"/>
      <c r="E28" s="2" t="n"/>
      <c r="F28" s="2" t="n"/>
      <c r="G28" s="2" t="n"/>
      <c r="H28" s="2" t="n"/>
    </row>
    <row r="29" ht="15.75" customHeight="1" s="46">
      <c r="A29" s="2" t="n"/>
      <c r="B29" s="2" t="n"/>
      <c r="C29" s="2" t="n"/>
      <c r="D29" s="2" t="n"/>
      <c r="E29" s="2" t="n"/>
      <c r="F29" s="2" t="n"/>
      <c r="G29" s="2" t="n"/>
      <c r="H29" s="2" t="n"/>
    </row>
    <row r="30" ht="15.75" customHeight="1" s="46">
      <c r="A30" s="2" t="n"/>
      <c r="B30" s="2" t="n"/>
      <c r="C30" s="2" t="n"/>
      <c r="D30" s="2" t="n"/>
      <c r="E30" s="2" t="n"/>
      <c r="F30" s="2" t="n"/>
      <c r="G30" s="2" t="n"/>
      <c r="H30" s="2" t="n"/>
    </row>
    <row r="31" ht="15.75" customHeight="1" s="46">
      <c r="A31" s="2" t="n"/>
      <c r="B31" s="2" t="n"/>
      <c r="C31" s="2" t="n"/>
      <c r="D31" s="2" t="n"/>
      <c r="E31" s="2" t="n"/>
      <c r="F31" s="2" t="n"/>
      <c r="G31" s="2" t="n"/>
      <c r="H31" s="2" t="n"/>
    </row>
    <row r="32" ht="15.75" customHeight="1" s="46">
      <c r="A32" s="2" t="n"/>
      <c r="B32" s="2" t="n"/>
      <c r="C32" s="2" t="n"/>
      <c r="D32" s="2" t="n"/>
      <c r="E32" s="2" t="n"/>
      <c r="F32" s="2" t="n"/>
      <c r="G32" s="2" t="n"/>
      <c r="H32" s="2" t="n"/>
    </row>
    <row r="33" ht="15.75" customHeight="1" s="46">
      <c r="A33" s="2" t="n"/>
      <c r="B33" s="2" t="n"/>
      <c r="C33" s="2" t="n"/>
      <c r="D33" s="2" t="n"/>
      <c r="E33" s="2" t="n"/>
      <c r="F33" s="2" t="n"/>
      <c r="G33" s="2" t="n"/>
      <c r="H33" s="2" t="n"/>
    </row>
    <row r="34" ht="15.75" customHeight="1" s="46">
      <c r="A34" s="2" t="n"/>
      <c r="B34" s="2" t="n"/>
      <c r="C34" s="2" t="n"/>
      <c r="D34" s="2" t="n"/>
      <c r="E34" s="2" t="n"/>
      <c r="F34" s="2" t="n"/>
      <c r="G34" s="2" t="n"/>
      <c r="H34" s="2" t="n"/>
    </row>
    <row r="35" ht="15.75" customHeight="1" s="46">
      <c r="A35" s="2" t="n"/>
      <c r="B35" s="2" t="n"/>
      <c r="C35" s="2" t="n"/>
      <c r="D35" s="2" t="n"/>
      <c r="E35" s="2" t="n"/>
      <c r="F35" s="2" t="n"/>
      <c r="G35" s="2" t="n"/>
      <c r="H35" s="2" t="n"/>
    </row>
    <row r="36" ht="15.75" customHeight="1" s="46">
      <c r="A36" s="2" t="n"/>
      <c r="B36" s="2" t="n"/>
      <c r="C36" s="2" t="n"/>
      <c r="D36" s="2" t="n"/>
      <c r="E36" s="2" t="n"/>
      <c r="F36" s="2" t="n"/>
      <c r="G36" s="2" t="n"/>
      <c r="H36" s="2" t="n"/>
    </row>
    <row r="37" ht="15.75" customHeight="1" s="46">
      <c r="A37" s="2" t="n"/>
      <c r="B37" s="2" t="n"/>
      <c r="C37" s="2" t="n"/>
      <c r="D37" s="2" t="n"/>
      <c r="E37" s="2" t="n"/>
      <c r="F37" s="2" t="n"/>
      <c r="G37" s="2" t="n"/>
      <c r="H37" s="2" t="n"/>
    </row>
    <row r="38" ht="15.75" customHeight="1" s="46">
      <c r="A38" s="2" t="n"/>
      <c r="B38" s="2" t="n"/>
      <c r="C38" s="2" t="n"/>
      <c r="D38" s="2" t="n"/>
      <c r="E38" s="2" t="n"/>
      <c r="F38" s="2" t="n"/>
      <c r="G38" s="2" t="n"/>
      <c r="H38" s="2" t="n"/>
    </row>
    <row r="39" ht="15.75" customHeight="1" s="46">
      <c r="A39" s="2" t="n"/>
      <c r="B39" s="2" t="n"/>
      <c r="C39" s="2" t="n"/>
      <c r="D39" s="2" t="n"/>
      <c r="E39" s="2" t="n"/>
      <c r="F39" s="2" t="n"/>
      <c r="G39" s="2" t="n"/>
      <c r="H39" s="2" t="n"/>
    </row>
    <row r="40" ht="15.75" customHeight="1" s="46">
      <c r="A40" s="2" t="n"/>
      <c r="B40" s="2" t="n"/>
      <c r="C40" s="2" t="n"/>
      <c r="D40" s="2" t="n"/>
      <c r="E40" s="2" t="n"/>
      <c r="F40" s="2" t="n"/>
      <c r="G40" s="2" t="n"/>
      <c r="H40" s="2" t="n"/>
    </row>
    <row r="41" ht="15.75" customHeight="1" s="46">
      <c r="A41" s="2" t="n"/>
      <c r="B41" s="2" t="n"/>
      <c r="C41" s="2" t="n"/>
      <c r="D41" s="2" t="n"/>
      <c r="E41" s="2" t="n"/>
      <c r="F41" s="2" t="n"/>
      <c r="G41" s="2" t="n"/>
      <c r="H41" s="2" t="n"/>
    </row>
    <row r="42" ht="15.75" customHeight="1" s="46">
      <c r="A42" s="2" t="n"/>
      <c r="B42" s="2" t="n"/>
      <c r="C42" s="2" t="n"/>
      <c r="D42" s="2" t="n"/>
      <c r="E42" s="2" t="n"/>
      <c r="F42" s="2" t="n"/>
      <c r="G42" s="2" t="n"/>
      <c r="H42" s="2" t="n"/>
    </row>
    <row r="43" ht="15.75" customHeight="1" s="46">
      <c r="A43" s="2" t="n"/>
      <c r="B43" s="2" t="n"/>
      <c r="C43" s="2" t="n"/>
      <c r="D43" s="2" t="n"/>
      <c r="E43" s="2" t="n"/>
      <c r="F43" s="2" t="n"/>
      <c r="G43" s="2" t="n"/>
      <c r="H43" s="2" t="n"/>
    </row>
    <row r="44" ht="15.75" customHeight="1" s="46">
      <c r="A44" s="2" t="n"/>
      <c r="B44" s="2" t="n"/>
      <c r="C44" s="2" t="n"/>
      <c r="D44" s="2" t="n"/>
      <c r="E44" s="2" t="n"/>
      <c r="F44" s="2" t="n"/>
      <c r="G44" s="2" t="n"/>
      <c r="H44" s="2" t="n"/>
    </row>
    <row r="45" ht="15.75" customHeight="1" s="46">
      <c r="A45" s="2" t="n"/>
      <c r="B45" s="2" t="n"/>
      <c r="C45" s="2" t="n"/>
      <c r="D45" s="2" t="n"/>
      <c r="E45" s="2" t="n"/>
      <c r="F45" s="2" t="n"/>
      <c r="G45" s="2" t="n"/>
      <c r="H45" s="2" t="n"/>
    </row>
    <row r="46" ht="15.75" customHeight="1" s="46">
      <c r="A46" s="2" t="n"/>
      <c r="B46" s="2" t="n"/>
      <c r="C46" s="2" t="n"/>
      <c r="D46" s="2" t="n"/>
      <c r="E46" s="2" t="n"/>
      <c r="F46" s="2" t="n"/>
      <c r="G46" s="2" t="n"/>
      <c r="H46" s="2" t="n"/>
    </row>
    <row r="47" ht="15.75" customHeight="1" s="46">
      <c r="A47" s="2" t="n"/>
      <c r="B47" s="2" t="n"/>
      <c r="C47" s="2" t="n"/>
      <c r="D47" s="2" t="n"/>
      <c r="E47" s="2" t="n"/>
      <c r="F47" s="2" t="n"/>
      <c r="G47" s="2" t="n"/>
      <c r="H47" s="2" t="n"/>
    </row>
    <row r="48" ht="15.75" customHeight="1" s="46">
      <c r="A48" s="2" t="n"/>
      <c r="B48" s="2" t="n"/>
      <c r="C48" s="2" t="n"/>
      <c r="D48" s="2" t="n"/>
      <c r="E48" s="2" t="n"/>
      <c r="F48" s="2" t="n"/>
      <c r="G48" s="2" t="n"/>
      <c r="H48" s="2" t="n"/>
    </row>
    <row r="49" ht="15.75" customHeight="1" s="46">
      <c r="A49" s="2" t="n"/>
      <c r="B49" s="2" t="n"/>
      <c r="C49" s="2" t="n"/>
      <c r="D49" s="2" t="n"/>
      <c r="E49" s="2" t="n"/>
      <c r="F49" s="2" t="n"/>
      <c r="G49" s="2" t="n"/>
      <c r="H49" s="2" t="n"/>
    </row>
    <row r="50" ht="15.75" customHeight="1" s="46">
      <c r="A50" s="2" t="n"/>
      <c r="B50" s="2" t="n"/>
      <c r="C50" s="2" t="n"/>
      <c r="D50" s="2" t="n"/>
      <c r="E50" s="2" t="n"/>
      <c r="F50" s="2" t="n"/>
      <c r="G50" s="2" t="n"/>
      <c r="H50" s="2" t="n"/>
    </row>
    <row r="51" ht="15.75" customHeight="1" s="46">
      <c r="A51" s="2" t="n"/>
      <c r="B51" s="2" t="n"/>
      <c r="C51" s="2" t="n"/>
      <c r="D51" s="2" t="n"/>
      <c r="E51" s="2" t="n"/>
      <c r="F51" s="2" t="n"/>
      <c r="G51" s="2" t="n"/>
      <c r="H51" s="2" t="n"/>
    </row>
    <row r="52" ht="15.75" customHeight="1" s="46">
      <c r="A52" s="2" t="n"/>
      <c r="B52" s="2" t="n"/>
      <c r="C52" s="2" t="n"/>
      <c r="D52" s="2" t="n"/>
      <c r="E52" s="2" t="n"/>
      <c r="F52" s="2" t="n"/>
      <c r="G52" s="2" t="n"/>
      <c r="H52" s="2" t="n"/>
    </row>
    <row r="53" ht="15.75" customHeight="1" s="46">
      <c r="A53" s="2" t="n"/>
      <c r="B53" s="2" t="n"/>
      <c r="C53" s="2" t="n"/>
      <c r="D53" s="2" t="n"/>
      <c r="E53" s="2" t="n"/>
      <c r="F53" s="2" t="n"/>
      <c r="G53" s="2" t="n"/>
      <c r="H53" s="2" t="n"/>
    </row>
    <row r="54" ht="15.75" customHeight="1" s="46">
      <c r="A54" s="2" t="n"/>
      <c r="B54" s="2" t="n"/>
      <c r="C54" s="2" t="n"/>
      <c r="D54" s="2" t="n"/>
      <c r="E54" s="2" t="n"/>
      <c r="F54" s="2" t="n"/>
      <c r="G54" s="2" t="n"/>
      <c r="H54" s="2" t="n"/>
    </row>
    <row r="55" ht="15.75" customHeight="1" s="46">
      <c r="A55" s="2" t="n"/>
      <c r="B55" s="2" t="n"/>
      <c r="C55" s="2" t="n"/>
      <c r="D55" s="2" t="n"/>
      <c r="E55" s="2" t="n"/>
      <c r="F55" s="2" t="n"/>
      <c r="G55" s="2" t="n"/>
      <c r="H55" s="2" t="n"/>
    </row>
    <row r="56" ht="15.75" customHeight="1" s="46">
      <c r="A56" s="2" t="n"/>
      <c r="B56" s="2" t="n"/>
      <c r="C56" s="2" t="n"/>
      <c r="D56" s="2" t="n"/>
      <c r="E56" s="2" t="n"/>
      <c r="F56" s="2" t="n"/>
      <c r="G56" s="2" t="n"/>
      <c r="H56" s="2" t="n"/>
    </row>
    <row r="57" ht="15.75" customHeight="1" s="46">
      <c r="A57" s="2" t="n"/>
      <c r="B57" s="2" t="n"/>
      <c r="C57" s="2" t="n"/>
      <c r="D57" s="2" t="n"/>
      <c r="E57" s="2" t="n"/>
      <c r="F57" s="2" t="n"/>
      <c r="G57" s="2" t="n"/>
      <c r="H57" s="2" t="n"/>
    </row>
    <row r="58" ht="15.75" customHeight="1" s="46">
      <c r="A58" s="2" t="n"/>
      <c r="B58" s="2" t="n"/>
      <c r="C58" s="2" t="n"/>
      <c r="D58" s="2" t="n"/>
      <c r="E58" s="2" t="n"/>
      <c r="F58" s="2" t="n"/>
      <c r="G58" s="2" t="n"/>
      <c r="H58" s="2" t="n"/>
    </row>
    <row r="59" ht="15.75" customHeight="1" s="46">
      <c r="A59" s="2" t="n"/>
      <c r="B59" s="2" t="n"/>
      <c r="C59" s="2" t="n"/>
      <c r="D59" s="2" t="n"/>
      <c r="E59" s="2" t="n"/>
      <c r="F59" s="2" t="n"/>
      <c r="G59" s="2" t="n"/>
      <c r="H59" s="2" t="n"/>
    </row>
    <row r="60" ht="15.75" customHeight="1" s="46">
      <c r="A60" s="2" t="n"/>
      <c r="B60" s="2" t="n"/>
      <c r="C60" s="2" t="n"/>
      <c r="D60" s="2" t="n"/>
      <c r="E60" s="2" t="n"/>
      <c r="F60" s="2" t="n"/>
      <c r="G60" s="2" t="n"/>
      <c r="H60" s="2" t="n"/>
    </row>
    <row r="61" ht="15.75" customHeight="1" s="46">
      <c r="A61" s="2" t="n"/>
      <c r="B61" s="2" t="n"/>
      <c r="C61" s="2" t="n"/>
      <c r="D61" s="2" t="n"/>
      <c r="E61" s="2" t="n"/>
      <c r="F61" s="2" t="n"/>
      <c r="G61" s="2" t="n"/>
      <c r="H61" s="2" t="n"/>
    </row>
    <row r="62" ht="15.75" customHeight="1" s="46">
      <c r="A62" s="2" t="n"/>
      <c r="B62" s="2" t="n"/>
      <c r="C62" s="2" t="n"/>
      <c r="D62" s="2" t="n"/>
      <c r="E62" s="2" t="n"/>
      <c r="F62" s="2" t="n"/>
      <c r="G62" s="2" t="n"/>
      <c r="H62" s="2" t="n"/>
    </row>
    <row r="63" ht="15.75" customHeight="1" s="46">
      <c r="A63" s="2" t="n"/>
      <c r="B63" s="2" t="n"/>
      <c r="C63" s="2" t="n"/>
      <c r="D63" s="2" t="n"/>
      <c r="E63" s="2" t="n"/>
      <c r="F63" s="2" t="n"/>
      <c r="G63" s="2" t="n"/>
      <c r="H63" s="2" t="n"/>
    </row>
    <row r="64" ht="15.75" customHeight="1" s="46">
      <c r="A64" s="2" t="n"/>
      <c r="B64" s="2" t="n"/>
      <c r="C64" s="2" t="n"/>
      <c r="D64" s="2" t="n"/>
      <c r="E64" s="2" t="n"/>
      <c r="F64" s="2" t="n"/>
      <c r="G64" s="2" t="n"/>
      <c r="H64" s="2" t="n"/>
    </row>
    <row r="65" ht="15.75" customHeight="1" s="46">
      <c r="A65" s="2" t="n"/>
      <c r="B65" s="2" t="n"/>
      <c r="C65" s="2" t="n"/>
      <c r="D65" s="2" t="n"/>
      <c r="E65" s="2" t="n"/>
      <c r="F65" s="2" t="n"/>
      <c r="G65" s="2" t="n"/>
      <c r="H65" s="2" t="n"/>
    </row>
    <row r="66" ht="15.75" customHeight="1" s="46">
      <c r="A66" s="2" t="n"/>
      <c r="B66" s="2" t="n"/>
      <c r="C66" s="2" t="n"/>
      <c r="D66" s="2" t="n"/>
      <c r="E66" s="2" t="n"/>
      <c r="F66" s="2" t="n"/>
      <c r="G66" s="2" t="n"/>
      <c r="H66" s="2" t="n"/>
    </row>
    <row r="67" ht="15.75" customHeight="1" s="46">
      <c r="A67" s="2" t="n"/>
      <c r="B67" s="2" t="n"/>
      <c r="C67" s="2" t="n"/>
      <c r="D67" s="2" t="n"/>
      <c r="E67" s="2" t="n"/>
      <c r="F67" s="2" t="n"/>
      <c r="G67" s="2" t="n"/>
      <c r="H67" s="2" t="n"/>
    </row>
    <row r="68" ht="15.75" customHeight="1" s="46">
      <c r="A68" s="2" t="n"/>
      <c r="B68" s="2" t="n"/>
      <c r="C68" s="2" t="n"/>
      <c r="D68" s="2" t="n"/>
      <c r="E68" s="2" t="n"/>
      <c r="F68" s="2" t="n"/>
      <c r="G68" s="2" t="n"/>
      <c r="H68" s="2" t="n"/>
    </row>
    <row r="69" ht="15.75" customHeight="1" s="46">
      <c r="A69" s="2" t="n"/>
      <c r="B69" s="2" t="n"/>
      <c r="C69" s="2" t="n"/>
      <c r="D69" s="2" t="n"/>
      <c r="E69" s="2" t="n"/>
      <c r="F69" s="2" t="n"/>
      <c r="G69" s="2" t="n"/>
      <c r="H69" s="2" t="n"/>
    </row>
    <row r="70" ht="15.75" customHeight="1" s="46">
      <c r="A70" s="2" t="n"/>
      <c r="B70" s="2" t="n"/>
      <c r="C70" s="2" t="n"/>
      <c r="D70" s="2" t="n"/>
      <c r="E70" s="2" t="n"/>
      <c r="F70" s="2" t="n"/>
      <c r="G70" s="2" t="n"/>
      <c r="H70" s="2" t="n"/>
    </row>
    <row r="71" ht="15.75" customHeight="1" s="46">
      <c r="A71" s="2" t="n"/>
      <c r="B71" s="2" t="n"/>
      <c r="C71" s="2" t="n"/>
      <c r="D71" s="2" t="n"/>
      <c r="E71" s="2" t="n"/>
      <c r="F71" s="2" t="n"/>
      <c r="G71" s="2" t="n"/>
      <c r="H71" s="2" t="n"/>
    </row>
    <row r="72" ht="15.75" customHeight="1" s="46">
      <c r="A72" s="2" t="n"/>
      <c r="B72" s="2" t="n"/>
      <c r="C72" s="2" t="n"/>
      <c r="D72" s="2" t="n"/>
      <c r="E72" s="2" t="n"/>
      <c r="F72" s="2" t="n"/>
      <c r="G72" s="2" t="n"/>
      <c r="H72" s="2" t="n"/>
    </row>
    <row r="73" ht="15.75" customHeight="1" s="46">
      <c r="A73" s="2" t="n"/>
      <c r="B73" s="2" t="n"/>
      <c r="C73" s="2" t="n"/>
      <c r="D73" s="2" t="n"/>
      <c r="E73" s="2" t="n"/>
      <c r="F73" s="2" t="n"/>
      <c r="G73" s="2" t="n"/>
      <c r="H73" s="2" t="n"/>
    </row>
    <row r="74" ht="15.75" customHeight="1" s="46">
      <c r="A74" s="2" t="n"/>
      <c r="B74" s="2" t="n"/>
      <c r="C74" s="2" t="n"/>
      <c r="D74" s="2" t="n"/>
      <c r="E74" s="2" t="n"/>
      <c r="F74" s="2" t="n"/>
      <c r="G74" s="2" t="n"/>
      <c r="H74" s="2" t="n"/>
    </row>
    <row r="75" ht="15.75" customHeight="1" s="46">
      <c r="A75" s="2" t="n"/>
      <c r="B75" s="2" t="n"/>
      <c r="C75" s="2" t="n"/>
      <c r="D75" s="2" t="n"/>
      <c r="E75" s="2" t="n"/>
      <c r="F75" s="2" t="n"/>
      <c r="G75" s="2" t="n"/>
      <c r="H75" s="2" t="n"/>
    </row>
    <row r="76" ht="15.75" customHeight="1" s="46">
      <c r="A76" s="2" t="n"/>
      <c r="B76" s="2" t="n"/>
      <c r="C76" s="2" t="n"/>
      <c r="D76" s="2" t="n"/>
      <c r="E76" s="2" t="n"/>
      <c r="F76" s="2" t="n"/>
      <c r="G76" s="2" t="n"/>
      <c r="H76" s="2" t="n"/>
    </row>
    <row r="77" ht="15.75" customHeight="1" s="46">
      <c r="A77" s="2" t="n"/>
      <c r="B77" s="2" t="n"/>
      <c r="C77" s="2" t="n"/>
      <c r="D77" s="2" t="n"/>
      <c r="E77" s="2" t="n"/>
      <c r="F77" s="2" t="n"/>
      <c r="G77" s="2" t="n"/>
      <c r="H77" s="2" t="n"/>
    </row>
    <row r="78" ht="15.75" customHeight="1" s="46">
      <c r="A78" s="2" t="n"/>
      <c r="B78" s="2" t="n"/>
      <c r="C78" s="2" t="n"/>
      <c r="D78" s="2" t="n"/>
      <c r="E78" s="2" t="n"/>
      <c r="F78" s="2" t="n"/>
      <c r="G78" s="2" t="n"/>
      <c r="H78" s="2" t="n"/>
    </row>
    <row r="79" ht="15.75" customHeight="1" s="46">
      <c r="A79" s="2" t="n"/>
      <c r="B79" s="2" t="n"/>
      <c r="C79" s="2" t="n"/>
      <c r="D79" s="2" t="n"/>
      <c r="E79" s="2" t="n"/>
      <c r="F79" s="2" t="n"/>
      <c r="G79" s="2" t="n"/>
      <c r="H79" s="2" t="n"/>
    </row>
    <row r="80" ht="15.75" customHeight="1" s="46">
      <c r="A80" s="2" t="n"/>
      <c r="B80" s="2" t="n"/>
      <c r="C80" s="2" t="n"/>
      <c r="D80" s="2" t="n"/>
      <c r="E80" s="2" t="n"/>
      <c r="F80" s="2" t="n"/>
      <c r="G80" s="2" t="n"/>
      <c r="H80" s="2" t="n"/>
    </row>
    <row r="81" ht="15.75" customHeight="1" s="46">
      <c r="A81" s="2" t="n"/>
      <c r="B81" s="2" t="n"/>
      <c r="C81" s="2" t="n"/>
      <c r="D81" s="2" t="n"/>
      <c r="E81" s="2" t="n"/>
      <c r="F81" s="2" t="n"/>
      <c r="G81" s="2" t="n"/>
      <c r="H81" s="2" t="n"/>
    </row>
    <row r="82" ht="15.75" customHeight="1" s="46">
      <c r="A82" s="2" t="n"/>
      <c r="B82" s="2" t="n"/>
      <c r="C82" s="2" t="n"/>
      <c r="D82" s="2" t="n"/>
      <c r="E82" s="2" t="n"/>
      <c r="F82" s="2" t="n"/>
      <c r="G82" s="2" t="n"/>
      <c r="H82" s="2" t="n"/>
    </row>
    <row r="83" ht="15.75" customHeight="1" s="46">
      <c r="A83" s="2" t="n"/>
      <c r="B83" s="2" t="n"/>
      <c r="C83" s="2" t="n"/>
      <c r="D83" s="2" t="n"/>
      <c r="E83" s="2" t="n"/>
      <c r="F83" s="2" t="n"/>
      <c r="G83" s="2" t="n"/>
      <c r="H83" s="2" t="n"/>
    </row>
    <row r="84" ht="15.75" customHeight="1" s="46">
      <c r="A84" s="2" t="n"/>
      <c r="B84" s="2" t="n"/>
      <c r="C84" s="2" t="n"/>
      <c r="D84" s="2" t="n"/>
      <c r="E84" s="2" t="n"/>
      <c r="F84" s="2" t="n"/>
      <c r="G84" s="2" t="n"/>
      <c r="H84" s="2" t="n"/>
    </row>
    <row r="85" ht="15.75" customHeight="1" s="46">
      <c r="A85" s="2" t="n"/>
      <c r="B85" s="2" t="n"/>
      <c r="C85" s="2" t="n"/>
      <c r="D85" s="2" t="n"/>
      <c r="E85" s="2" t="n"/>
      <c r="F85" s="2" t="n"/>
      <c r="G85" s="2" t="n"/>
      <c r="H85" s="2" t="n"/>
    </row>
    <row r="86" ht="15.75" customHeight="1" s="46">
      <c r="A86" s="2" t="n"/>
      <c r="B86" s="2" t="n"/>
      <c r="C86" s="2" t="n"/>
      <c r="D86" s="2" t="n"/>
      <c r="E86" s="2" t="n"/>
      <c r="F86" s="2" t="n"/>
      <c r="G86" s="2" t="n"/>
      <c r="H86" s="2" t="n"/>
    </row>
    <row r="87" ht="15.75" customHeight="1" s="46">
      <c r="A87" s="2" t="n"/>
      <c r="B87" s="2" t="n"/>
      <c r="C87" s="2" t="n"/>
      <c r="D87" s="2" t="n"/>
      <c r="E87" s="2" t="n"/>
      <c r="F87" s="2" t="n"/>
      <c r="G87" s="2" t="n"/>
      <c r="H87" s="2" t="n"/>
    </row>
    <row r="88" ht="15.75" customHeight="1" s="46">
      <c r="A88" s="2" t="n"/>
      <c r="B88" s="2" t="n"/>
      <c r="C88" s="2" t="n"/>
      <c r="D88" s="2" t="n"/>
      <c r="E88" s="2" t="n"/>
      <c r="F88" s="2" t="n"/>
      <c r="G88" s="2" t="n"/>
      <c r="H88" s="2" t="n"/>
    </row>
    <row r="89" ht="15.75" customHeight="1" s="46">
      <c r="A89" s="2" t="n"/>
      <c r="B89" s="2" t="n"/>
      <c r="C89" s="2" t="n"/>
      <c r="D89" s="2" t="n"/>
      <c r="E89" s="2" t="n"/>
      <c r="F89" s="2" t="n"/>
      <c r="G89" s="2" t="n"/>
      <c r="H89" s="2" t="n"/>
    </row>
    <row r="90" ht="15.75" customHeight="1" s="46">
      <c r="A90" s="2" t="n"/>
      <c r="B90" s="2" t="n"/>
      <c r="C90" s="2" t="n"/>
      <c r="D90" s="2" t="n"/>
      <c r="E90" s="2" t="n"/>
      <c r="F90" s="2" t="n"/>
      <c r="G90" s="2" t="n"/>
      <c r="H90" s="2" t="n"/>
    </row>
    <row r="91" ht="15.75" customHeight="1" s="46">
      <c r="A91" s="2" t="n"/>
      <c r="B91" s="2" t="n"/>
      <c r="C91" s="2" t="n"/>
      <c r="D91" s="2" t="n"/>
      <c r="E91" s="2" t="n"/>
      <c r="F91" s="2" t="n"/>
      <c r="G91" s="2" t="n"/>
      <c r="H91" s="2" t="n"/>
    </row>
    <row r="92" ht="15.75" customHeight="1" s="46">
      <c r="A92" s="2" t="n"/>
      <c r="B92" s="2" t="n"/>
      <c r="C92" s="2" t="n"/>
      <c r="D92" s="2" t="n"/>
      <c r="E92" s="2" t="n"/>
      <c r="F92" s="2" t="n"/>
      <c r="G92" s="2" t="n"/>
      <c r="H92" s="2" t="n"/>
    </row>
    <row r="93" ht="15.75" customHeight="1" s="46">
      <c r="A93" s="2" t="n"/>
      <c r="B93" s="2" t="n"/>
      <c r="C93" s="2" t="n"/>
      <c r="D93" s="2" t="n"/>
      <c r="E93" s="2" t="n"/>
      <c r="F93" s="2" t="n"/>
      <c r="G93" s="2" t="n"/>
      <c r="H93" s="2" t="n"/>
    </row>
    <row r="94" ht="15.75" customHeight="1" s="46">
      <c r="A94" s="2" t="n"/>
      <c r="B94" s="2" t="n"/>
      <c r="C94" s="2" t="n"/>
      <c r="D94" s="2" t="n"/>
      <c r="E94" s="2" t="n"/>
      <c r="F94" s="2" t="n"/>
      <c r="G94" s="2" t="n"/>
      <c r="H94" s="2" t="n"/>
    </row>
    <row r="95" ht="15.75" customHeight="1" s="46">
      <c r="A95" s="2" t="n"/>
      <c r="B95" s="2" t="n"/>
      <c r="C95" s="2" t="n"/>
      <c r="D95" s="2" t="n"/>
      <c r="E95" s="2" t="n"/>
      <c r="F95" s="2" t="n"/>
      <c r="G95" s="2" t="n"/>
      <c r="H95" s="2" t="n"/>
    </row>
    <row r="96" ht="15.75" customHeight="1" s="46">
      <c r="A96" s="2" t="n"/>
      <c r="B96" s="2" t="n"/>
      <c r="C96" s="2" t="n"/>
      <c r="D96" s="2" t="n"/>
      <c r="E96" s="2" t="n"/>
      <c r="F96" s="2" t="n"/>
      <c r="G96" s="2" t="n"/>
      <c r="H96" s="2" t="n"/>
    </row>
    <row r="97" ht="15.75" customHeight="1" s="46">
      <c r="A97" s="2" t="n"/>
      <c r="B97" s="2" t="n"/>
      <c r="C97" s="2" t="n"/>
      <c r="D97" s="2" t="n"/>
      <c r="E97" s="2" t="n"/>
      <c r="F97" s="2" t="n"/>
      <c r="G97" s="2" t="n"/>
      <c r="H97" s="2" t="n"/>
    </row>
    <row r="98" ht="15.75" customHeight="1" s="46">
      <c r="A98" s="2" t="n"/>
      <c r="B98" s="2" t="n"/>
      <c r="C98" s="2" t="n"/>
      <c r="D98" s="2" t="n"/>
      <c r="E98" s="2" t="n"/>
      <c r="F98" s="2" t="n"/>
      <c r="G98" s="2" t="n"/>
      <c r="H98" s="2" t="n"/>
    </row>
    <row r="99" ht="15.75" customHeight="1" s="46">
      <c r="A99" s="2" t="n"/>
      <c r="B99" s="2" t="n"/>
      <c r="C99" s="2" t="n"/>
      <c r="D99" s="2" t="n"/>
      <c r="E99" s="2" t="n"/>
      <c r="F99" s="2" t="n"/>
      <c r="G99" s="2" t="n"/>
      <c r="H99" s="2" t="n"/>
    </row>
    <row r="100" ht="15.75" customHeight="1" s="46">
      <c r="A100" s="2" t="n"/>
      <c r="B100" s="2" t="n"/>
      <c r="C100" s="2" t="n"/>
      <c r="D100" s="2" t="n"/>
      <c r="E100" s="2" t="n"/>
      <c r="F100" s="2" t="n"/>
      <c r="G100" s="2" t="n"/>
      <c r="H100" s="2" t="n"/>
    </row>
    <row r="101" ht="15.75" customHeight="1" s="46">
      <c r="A101" s="2" t="n"/>
      <c r="B101" s="2" t="n"/>
      <c r="C101" s="2" t="n"/>
      <c r="D101" s="2" t="n"/>
      <c r="E101" s="2" t="n"/>
      <c r="F101" s="2" t="n"/>
      <c r="G101" s="2" t="n"/>
      <c r="H101" s="2" t="n"/>
    </row>
    <row r="102" ht="15.75" customHeight="1" s="46">
      <c r="A102" s="2" t="n"/>
      <c r="B102" s="2" t="n"/>
      <c r="C102" s="2" t="n"/>
      <c r="D102" s="2" t="n"/>
      <c r="E102" s="2" t="n"/>
      <c r="F102" s="2" t="n"/>
      <c r="G102" s="2" t="n"/>
      <c r="H102" s="2" t="n"/>
    </row>
    <row r="103" ht="15.75" customHeight="1" s="46">
      <c r="A103" s="2" t="n"/>
      <c r="B103" s="2" t="n"/>
      <c r="C103" s="2" t="n"/>
      <c r="D103" s="2" t="n"/>
      <c r="E103" s="2" t="n"/>
      <c r="F103" s="2" t="n"/>
      <c r="G103" s="2" t="n"/>
      <c r="H103" s="2" t="n"/>
    </row>
    <row r="104" ht="15.75" customHeight="1" s="46">
      <c r="A104" s="2" t="n"/>
      <c r="B104" s="2" t="n"/>
      <c r="C104" s="2" t="n"/>
      <c r="D104" s="2" t="n"/>
      <c r="E104" s="2" t="n"/>
      <c r="F104" s="2" t="n"/>
      <c r="G104" s="2" t="n"/>
      <c r="H104" s="2" t="n"/>
    </row>
    <row r="105" ht="15.75" customHeight="1" s="46">
      <c r="A105" s="2" t="n"/>
      <c r="B105" s="2" t="n"/>
      <c r="C105" s="2" t="n"/>
      <c r="D105" s="2" t="n"/>
      <c r="E105" s="2" t="n"/>
      <c r="F105" s="2" t="n"/>
      <c r="G105" s="2" t="n"/>
      <c r="H105" s="2" t="n"/>
    </row>
    <row r="106" ht="15.75" customHeight="1" s="46">
      <c r="A106" s="2" t="n"/>
      <c r="B106" s="2" t="n"/>
      <c r="C106" s="2" t="n"/>
      <c r="D106" s="2" t="n"/>
      <c r="E106" s="2" t="n"/>
      <c r="F106" s="2" t="n"/>
      <c r="G106" s="2" t="n"/>
      <c r="H106" s="2" t="n"/>
    </row>
    <row r="107" ht="15.75" customHeight="1" s="46">
      <c r="A107" s="2" t="n"/>
      <c r="B107" s="2" t="n"/>
      <c r="C107" s="2" t="n"/>
      <c r="D107" s="2" t="n"/>
      <c r="E107" s="2" t="n"/>
      <c r="F107" s="2" t="n"/>
      <c r="G107" s="2" t="n"/>
      <c r="H107" s="2" t="n"/>
    </row>
    <row r="108" ht="15.75" customHeight="1" s="46">
      <c r="A108" s="2" t="n"/>
      <c r="B108" s="2" t="n"/>
      <c r="C108" s="2" t="n"/>
      <c r="D108" s="2" t="n"/>
      <c r="E108" s="2" t="n"/>
      <c r="F108" s="2" t="n"/>
      <c r="G108" s="2" t="n"/>
      <c r="H108" s="2" t="n"/>
    </row>
    <row r="109" ht="15.75" customHeight="1" s="46">
      <c r="A109" s="2" t="n"/>
      <c r="B109" s="2" t="n"/>
      <c r="C109" s="2" t="n"/>
      <c r="D109" s="2" t="n"/>
      <c r="E109" s="2" t="n"/>
      <c r="F109" s="2" t="n"/>
      <c r="G109" s="2" t="n"/>
      <c r="H109" s="2" t="n"/>
    </row>
    <row r="110" ht="15.75" customHeight="1" s="46">
      <c r="A110" s="2" t="n"/>
      <c r="B110" s="2" t="n"/>
      <c r="C110" s="2" t="n"/>
      <c r="D110" s="2" t="n"/>
      <c r="E110" s="2" t="n"/>
      <c r="F110" s="2" t="n"/>
      <c r="G110" s="2" t="n"/>
      <c r="H110" s="2" t="n"/>
    </row>
    <row r="111" ht="15.75" customHeight="1" s="46">
      <c r="A111" s="2" t="n"/>
      <c r="B111" s="2" t="n"/>
      <c r="C111" s="2" t="n"/>
      <c r="D111" s="2" t="n"/>
      <c r="E111" s="2" t="n"/>
      <c r="F111" s="2" t="n"/>
      <c r="G111" s="2" t="n"/>
      <c r="H111" s="2" t="n"/>
    </row>
    <row r="112" ht="15.75" customHeight="1" s="46">
      <c r="A112" s="2" t="n"/>
      <c r="B112" s="2" t="n"/>
      <c r="C112" s="2" t="n"/>
      <c r="D112" s="2" t="n"/>
      <c r="E112" s="2" t="n"/>
      <c r="F112" s="2" t="n"/>
      <c r="G112" s="2" t="n"/>
      <c r="H112" s="2" t="n"/>
    </row>
    <row r="113" ht="15.75" customHeight="1" s="46">
      <c r="A113" s="2" t="n"/>
      <c r="B113" s="2" t="n"/>
      <c r="C113" s="2" t="n"/>
      <c r="D113" s="2" t="n"/>
      <c r="E113" s="2" t="n"/>
      <c r="F113" s="2" t="n"/>
      <c r="G113" s="2" t="n"/>
      <c r="H113" s="2" t="n"/>
    </row>
    <row r="114" ht="15.75" customHeight="1" s="46">
      <c r="A114" s="2" t="n"/>
      <c r="B114" s="2" t="n"/>
      <c r="C114" s="2" t="n"/>
      <c r="D114" s="2" t="n"/>
      <c r="E114" s="2" t="n"/>
      <c r="F114" s="2" t="n"/>
      <c r="G114" s="2" t="n"/>
      <c r="H114" s="2" t="n"/>
    </row>
    <row r="115" ht="15.75" customHeight="1" s="46">
      <c r="A115" s="2" t="n"/>
      <c r="B115" s="2" t="n"/>
      <c r="C115" s="2" t="n"/>
      <c r="D115" s="2" t="n"/>
      <c r="E115" s="2" t="n"/>
      <c r="F115" s="2" t="n"/>
      <c r="G115" s="2" t="n"/>
      <c r="H115" s="2" t="n"/>
    </row>
    <row r="116" ht="15.75" customHeight="1" s="46">
      <c r="A116" s="2" t="n"/>
      <c r="B116" s="2" t="n"/>
      <c r="C116" s="2" t="n"/>
      <c r="D116" s="2" t="n"/>
      <c r="E116" s="2" t="n"/>
      <c r="F116" s="2" t="n"/>
      <c r="G116" s="2" t="n"/>
      <c r="H116" s="2" t="n"/>
    </row>
    <row r="117" ht="15.75" customHeight="1" s="46">
      <c r="A117" s="2" t="n"/>
      <c r="B117" s="2" t="n"/>
      <c r="C117" s="2" t="n"/>
      <c r="D117" s="2" t="n"/>
      <c r="E117" s="2" t="n"/>
      <c r="F117" s="2" t="n"/>
      <c r="G117" s="2" t="n"/>
      <c r="H117" s="2" t="n"/>
    </row>
    <row r="118" ht="15.75" customHeight="1" s="46">
      <c r="A118" s="2" t="n"/>
      <c r="B118" s="2" t="n"/>
      <c r="C118" s="2" t="n"/>
      <c r="D118" s="2" t="n"/>
      <c r="E118" s="2" t="n"/>
      <c r="F118" s="2" t="n"/>
      <c r="G118" s="2" t="n"/>
      <c r="H118" s="2" t="n"/>
    </row>
    <row r="119" ht="15.75" customHeight="1" s="46">
      <c r="A119" s="2" t="n"/>
      <c r="B119" s="2" t="n"/>
      <c r="C119" s="2" t="n"/>
      <c r="D119" s="2" t="n"/>
      <c r="E119" s="2" t="n"/>
      <c r="F119" s="2" t="n"/>
      <c r="G119" s="2" t="n"/>
      <c r="H119" s="2" t="n"/>
    </row>
    <row r="120" ht="15.75" customHeight="1" s="46">
      <c r="A120" s="2" t="n"/>
      <c r="B120" s="2" t="n"/>
      <c r="C120" s="2" t="n"/>
      <c r="D120" s="2" t="n"/>
      <c r="E120" s="2" t="n"/>
      <c r="F120" s="2" t="n"/>
      <c r="G120" s="2" t="n"/>
      <c r="H120" s="2" t="n"/>
    </row>
    <row r="121" ht="15.75" customHeight="1" s="46">
      <c r="A121" s="2" t="n"/>
      <c r="B121" s="2" t="n"/>
      <c r="C121" s="2" t="n"/>
      <c r="D121" s="2" t="n"/>
      <c r="E121" s="2" t="n"/>
      <c r="F121" s="2" t="n"/>
      <c r="G121" s="2" t="n"/>
      <c r="H121" s="2" t="n"/>
    </row>
    <row r="122" ht="15.75" customHeight="1" s="46">
      <c r="A122" s="2" t="n"/>
      <c r="B122" s="2" t="n"/>
      <c r="C122" s="2" t="n"/>
      <c r="D122" s="2" t="n"/>
      <c r="E122" s="2" t="n"/>
      <c r="F122" s="2" t="n"/>
      <c r="G122" s="2" t="n"/>
      <c r="H122" s="2" t="n"/>
    </row>
    <row r="123" ht="15.75" customHeight="1" s="46">
      <c r="A123" s="2" t="n"/>
      <c r="B123" s="2" t="n"/>
      <c r="C123" s="2" t="n"/>
      <c r="D123" s="2" t="n"/>
      <c r="E123" s="2" t="n"/>
      <c r="F123" s="2" t="n"/>
      <c r="G123" s="2" t="n"/>
      <c r="H123" s="2" t="n"/>
    </row>
    <row r="124" ht="15.75" customHeight="1" s="46">
      <c r="A124" s="2" t="n"/>
      <c r="B124" s="2" t="n"/>
      <c r="C124" s="2" t="n"/>
      <c r="D124" s="2" t="n"/>
      <c r="E124" s="2" t="n"/>
      <c r="F124" s="2" t="n"/>
      <c r="G124" s="2" t="n"/>
      <c r="H124" s="2" t="n"/>
    </row>
    <row r="125" ht="15.75" customHeight="1" s="46">
      <c r="A125" s="2" t="n"/>
      <c r="B125" s="2" t="n"/>
      <c r="C125" s="2" t="n"/>
      <c r="D125" s="2" t="n"/>
      <c r="E125" s="2" t="n"/>
      <c r="F125" s="2" t="n"/>
      <c r="G125" s="2" t="n"/>
      <c r="H125" s="2" t="n"/>
    </row>
    <row r="126" ht="15.75" customHeight="1" s="46">
      <c r="A126" s="2" t="n"/>
      <c r="B126" s="2" t="n"/>
      <c r="C126" s="2" t="n"/>
      <c r="D126" s="2" t="n"/>
      <c r="E126" s="2" t="n"/>
      <c r="F126" s="2" t="n"/>
      <c r="G126" s="2" t="n"/>
      <c r="H126" s="2" t="n"/>
    </row>
    <row r="127" ht="15.75" customHeight="1" s="46">
      <c r="A127" s="2" t="n"/>
      <c r="B127" s="2" t="n"/>
      <c r="C127" s="2" t="n"/>
      <c r="D127" s="2" t="n"/>
      <c r="E127" s="2" t="n"/>
      <c r="F127" s="2" t="n"/>
      <c r="G127" s="2" t="n"/>
      <c r="H127" s="2" t="n"/>
    </row>
    <row r="128" ht="15.75" customHeight="1" s="46">
      <c r="A128" s="2" t="n"/>
      <c r="B128" s="2" t="n"/>
      <c r="C128" s="2" t="n"/>
      <c r="D128" s="2" t="n"/>
      <c r="E128" s="2" t="n"/>
      <c r="F128" s="2" t="n"/>
      <c r="G128" s="2" t="n"/>
      <c r="H128" s="2" t="n"/>
    </row>
    <row r="129" ht="15.75" customHeight="1" s="46">
      <c r="A129" s="2" t="n"/>
      <c r="B129" s="2" t="n"/>
      <c r="C129" s="2" t="n"/>
      <c r="D129" s="2" t="n"/>
      <c r="E129" s="2" t="n"/>
      <c r="F129" s="2" t="n"/>
      <c r="G129" s="2" t="n"/>
      <c r="H129" s="2" t="n"/>
    </row>
    <row r="130" ht="15.75" customHeight="1" s="46">
      <c r="A130" s="2" t="n"/>
      <c r="B130" s="2" t="n"/>
      <c r="C130" s="2" t="n"/>
      <c r="D130" s="2" t="n"/>
      <c r="E130" s="2" t="n"/>
      <c r="F130" s="2" t="n"/>
      <c r="G130" s="2" t="n"/>
      <c r="H130" s="2" t="n"/>
    </row>
    <row r="131" ht="15.75" customHeight="1" s="46">
      <c r="A131" s="2" t="n"/>
      <c r="B131" s="2" t="n"/>
      <c r="C131" s="2" t="n"/>
      <c r="D131" s="2" t="n"/>
      <c r="E131" s="2" t="n"/>
      <c r="F131" s="2" t="n"/>
      <c r="G131" s="2" t="n"/>
      <c r="H131" s="2" t="n"/>
    </row>
    <row r="132" ht="15.75" customHeight="1" s="46">
      <c r="A132" s="2" t="n"/>
      <c r="B132" s="2" t="n"/>
      <c r="C132" s="2" t="n"/>
      <c r="D132" s="2" t="n"/>
      <c r="E132" s="2" t="n"/>
      <c r="F132" s="2" t="n"/>
      <c r="G132" s="2" t="n"/>
      <c r="H132" s="2" t="n"/>
    </row>
    <row r="133" ht="15.75" customHeight="1" s="46">
      <c r="A133" s="2" t="n"/>
      <c r="B133" s="2" t="n"/>
      <c r="C133" s="2" t="n"/>
      <c r="D133" s="2" t="n"/>
      <c r="E133" s="2" t="n"/>
      <c r="F133" s="2" t="n"/>
      <c r="G133" s="2" t="n"/>
      <c r="H133" s="2" t="n"/>
    </row>
    <row r="134" ht="15.75" customHeight="1" s="46">
      <c r="A134" s="2" t="n"/>
      <c r="B134" s="2" t="n"/>
      <c r="C134" s="2" t="n"/>
      <c r="D134" s="2" t="n"/>
      <c r="E134" s="2" t="n"/>
      <c r="F134" s="2" t="n"/>
      <c r="G134" s="2" t="n"/>
      <c r="H134" s="2" t="n"/>
    </row>
    <row r="135" ht="15.75" customHeight="1" s="46">
      <c r="A135" s="2" t="n"/>
      <c r="B135" s="2" t="n"/>
      <c r="C135" s="2" t="n"/>
      <c r="D135" s="2" t="n"/>
      <c r="E135" s="2" t="n"/>
      <c r="F135" s="2" t="n"/>
      <c r="G135" s="2" t="n"/>
      <c r="H135" s="2" t="n"/>
    </row>
    <row r="136" ht="15.75" customHeight="1" s="46">
      <c r="A136" s="2" t="n"/>
      <c r="B136" s="2" t="n"/>
      <c r="C136" s="2" t="n"/>
      <c r="D136" s="2" t="n"/>
      <c r="E136" s="2" t="n"/>
      <c r="F136" s="2" t="n"/>
      <c r="G136" s="2" t="n"/>
      <c r="H136" s="2" t="n"/>
    </row>
    <row r="137" ht="15.75" customHeight="1" s="46">
      <c r="A137" s="2" t="n"/>
      <c r="B137" s="2" t="n"/>
      <c r="C137" s="2" t="n"/>
      <c r="D137" s="2" t="n"/>
      <c r="E137" s="2" t="n"/>
      <c r="F137" s="2" t="n"/>
      <c r="G137" s="2" t="n"/>
      <c r="H137" s="2" t="n"/>
    </row>
    <row r="138" ht="15.75" customHeight="1" s="46">
      <c r="A138" s="2" t="n"/>
      <c r="B138" s="2" t="n"/>
      <c r="C138" s="2" t="n"/>
      <c r="D138" s="2" t="n"/>
      <c r="E138" s="2" t="n"/>
      <c r="F138" s="2" t="n"/>
      <c r="G138" s="2" t="n"/>
      <c r="H138" s="2" t="n"/>
    </row>
    <row r="139" ht="15.75" customHeight="1" s="46">
      <c r="A139" s="2" t="n"/>
      <c r="B139" s="2" t="n"/>
      <c r="C139" s="2" t="n"/>
      <c r="D139" s="2" t="n"/>
      <c r="E139" s="2" t="n"/>
      <c r="F139" s="2" t="n"/>
      <c r="G139" s="2" t="n"/>
      <c r="H139" s="2" t="n"/>
    </row>
    <row r="140" ht="15.75" customHeight="1" s="46">
      <c r="A140" s="2" t="n"/>
      <c r="B140" s="2" t="n"/>
      <c r="C140" s="2" t="n"/>
      <c r="D140" s="2" t="n"/>
      <c r="E140" s="2" t="n"/>
      <c r="F140" s="2" t="n"/>
      <c r="G140" s="2" t="n"/>
      <c r="H140" s="2" t="n"/>
    </row>
    <row r="141" ht="15.75" customHeight="1" s="46">
      <c r="A141" s="2" t="n"/>
      <c r="B141" s="2" t="n"/>
      <c r="C141" s="2" t="n"/>
      <c r="D141" s="2" t="n"/>
      <c r="E141" s="2" t="n"/>
      <c r="F141" s="2" t="n"/>
      <c r="G141" s="2" t="n"/>
      <c r="H141" s="2" t="n"/>
    </row>
    <row r="142" ht="15.75" customHeight="1" s="46">
      <c r="A142" s="2" t="n"/>
      <c r="B142" s="2" t="n"/>
      <c r="C142" s="2" t="n"/>
      <c r="D142" s="2" t="n"/>
      <c r="E142" s="2" t="n"/>
      <c r="F142" s="2" t="n"/>
      <c r="G142" s="2" t="n"/>
      <c r="H142" s="2" t="n"/>
    </row>
    <row r="143" ht="15.75" customHeight="1" s="46">
      <c r="A143" s="2" t="n"/>
      <c r="B143" s="2" t="n"/>
      <c r="C143" s="2" t="n"/>
      <c r="D143" s="2" t="n"/>
      <c r="E143" s="2" t="n"/>
      <c r="F143" s="2" t="n"/>
      <c r="G143" s="2" t="n"/>
      <c r="H143" s="2" t="n"/>
    </row>
    <row r="144" ht="15.75" customHeight="1" s="46">
      <c r="A144" s="2" t="n"/>
      <c r="B144" s="2" t="n"/>
      <c r="C144" s="2" t="n"/>
      <c r="D144" s="2" t="n"/>
      <c r="E144" s="2" t="n"/>
      <c r="F144" s="2" t="n"/>
      <c r="G144" s="2" t="n"/>
      <c r="H144" s="2" t="n"/>
    </row>
    <row r="145" ht="15.75" customHeight="1" s="46">
      <c r="A145" s="2" t="n"/>
      <c r="B145" s="2" t="n"/>
      <c r="C145" s="2" t="n"/>
      <c r="D145" s="2" t="n"/>
      <c r="E145" s="2" t="n"/>
      <c r="F145" s="2" t="n"/>
      <c r="G145" s="2" t="n"/>
      <c r="H145" s="2" t="n"/>
    </row>
    <row r="146" ht="15.75" customHeight="1" s="46">
      <c r="A146" s="2" t="n"/>
      <c r="B146" s="2" t="n"/>
      <c r="C146" s="2" t="n"/>
      <c r="D146" s="2" t="n"/>
      <c r="E146" s="2" t="n"/>
      <c r="F146" s="2" t="n"/>
      <c r="G146" s="2" t="n"/>
      <c r="H146" s="2" t="n"/>
    </row>
    <row r="147" ht="15.75" customHeight="1" s="46">
      <c r="A147" s="2" t="n"/>
      <c r="B147" s="2" t="n"/>
      <c r="C147" s="2" t="n"/>
      <c r="D147" s="2" t="n"/>
      <c r="E147" s="2" t="n"/>
      <c r="F147" s="2" t="n"/>
      <c r="G147" s="2" t="n"/>
      <c r="H147" s="2" t="n"/>
    </row>
    <row r="148" ht="15.75" customHeight="1" s="46">
      <c r="A148" s="2" t="n"/>
      <c r="B148" s="2" t="n"/>
      <c r="C148" s="2" t="n"/>
      <c r="D148" s="2" t="n"/>
      <c r="E148" s="2" t="n"/>
      <c r="F148" s="2" t="n"/>
      <c r="G148" s="2" t="n"/>
      <c r="H148" s="2" t="n"/>
    </row>
    <row r="149" ht="15.75" customHeight="1" s="46">
      <c r="A149" s="2" t="n"/>
      <c r="B149" s="2" t="n"/>
      <c r="C149" s="2" t="n"/>
      <c r="D149" s="2" t="n"/>
      <c r="E149" s="2" t="n"/>
      <c r="F149" s="2" t="n"/>
      <c r="G149" s="2" t="n"/>
      <c r="H149" s="2" t="n"/>
    </row>
    <row r="150" ht="15.75" customHeight="1" s="46">
      <c r="A150" s="2" t="n"/>
      <c r="B150" s="2" t="n"/>
      <c r="C150" s="2" t="n"/>
      <c r="D150" s="2" t="n"/>
      <c r="E150" s="2" t="n"/>
      <c r="F150" s="2" t="n"/>
      <c r="G150" s="2" t="n"/>
      <c r="H150" s="2" t="n"/>
    </row>
    <row r="151" ht="15.75" customHeight="1" s="46">
      <c r="A151" s="2" t="n"/>
      <c r="B151" s="2" t="n"/>
      <c r="C151" s="2" t="n"/>
      <c r="D151" s="2" t="n"/>
      <c r="E151" s="2" t="n"/>
      <c r="F151" s="2" t="n"/>
      <c r="G151" s="2" t="n"/>
      <c r="H151" s="2" t="n"/>
    </row>
    <row r="152" ht="15.75" customHeight="1" s="46">
      <c r="A152" s="2" t="n"/>
      <c r="B152" s="2" t="n"/>
      <c r="C152" s="2" t="n"/>
      <c r="D152" s="2" t="n"/>
      <c r="E152" s="2" t="n"/>
      <c r="F152" s="2" t="n"/>
      <c r="G152" s="2" t="n"/>
      <c r="H152" s="2" t="n"/>
    </row>
    <row r="153" ht="15.75" customHeight="1" s="46">
      <c r="A153" s="2" t="n"/>
      <c r="B153" s="2" t="n"/>
      <c r="C153" s="2" t="n"/>
      <c r="D153" s="2" t="n"/>
      <c r="E153" s="2" t="n"/>
      <c r="F153" s="2" t="n"/>
      <c r="G153" s="2" t="n"/>
      <c r="H153" s="2" t="n"/>
    </row>
    <row r="154" ht="15.75" customHeight="1" s="46">
      <c r="A154" s="2" t="n"/>
      <c r="B154" s="2" t="n"/>
      <c r="C154" s="2" t="n"/>
      <c r="D154" s="2" t="n"/>
      <c r="E154" s="2" t="n"/>
      <c r="F154" s="2" t="n"/>
      <c r="G154" s="2" t="n"/>
      <c r="H154" s="2" t="n"/>
    </row>
    <row r="155" ht="15.75" customHeight="1" s="46">
      <c r="A155" s="2" t="n"/>
      <c r="B155" s="2" t="n"/>
      <c r="C155" s="2" t="n"/>
      <c r="D155" s="2" t="n"/>
      <c r="E155" s="2" t="n"/>
      <c r="F155" s="2" t="n"/>
      <c r="G155" s="2" t="n"/>
      <c r="H155" s="2" t="n"/>
    </row>
    <row r="156" ht="15.75" customHeight="1" s="46">
      <c r="A156" s="2" t="n"/>
      <c r="B156" s="2" t="n"/>
      <c r="C156" s="2" t="n"/>
      <c r="D156" s="2" t="n"/>
      <c r="E156" s="2" t="n"/>
      <c r="F156" s="2" t="n"/>
      <c r="G156" s="2" t="n"/>
      <c r="H156" s="2" t="n"/>
    </row>
    <row r="157" ht="15.75" customHeight="1" s="46">
      <c r="A157" s="2" t="n"/>
      <c r="B157" s="2" t="n"/>
      <c r="C157" s="2" t="n"/>
      <c r="D157" s="2" t="n"/>
      <c r="E157" s="2" t="n"/>
      <c r="F157" s="2" t="n"/>
      <c r="G157" s="2" t="n"/>
      <c r="H157" s="2" t="n"/>
    </row>
    <row r="158" ht="15.75" customHeight="1" s="46">
      <c r="A158" s="2" t="n"/>
      <c r="B158" s="2" t="n"/>
      <c r="C158" s="2" t="n"/>
      <c r="D158" s="2" t="n"/>
      <c r="E158" s="2" t="n"/>
      <c r="F158" s="2" t="n"/>
      <c r="G158" s="2" t="n"/>
      <c r="H158" s="2" t="n"/>
    </row>
    <row r="159" ht="15.75" customHeight="1" s="46">
      <c r="A159" s="2" t="n"/>
      <c r="B159" s="2" t="n"/>
      <c r="C159" s="2" t="n"/>
      <c r="D159" s="2" t="n"/>
      <c r="E159" s="2" t="n"/>
      <c r="F159" s="2" t="n"/>
      <c r="G159" s="2" t="n"/>
      <c r="H159" s="2" t="n"/>
    </row>
    <row r="160" ht="15.75" customHeight="1" s="46">
      <c r="A160" s="2" t="n"/>
      <c r="B160" s="2" t="n"/>
      <c r="C160" s="2" t="n"/>
      <c r="D160" s="2" t="n"/>
      <c r="E160" s="2" t="n"/>
      <c r="F160" s="2" t="n"/>
      <c r="G160" s="2" t="n"/>
      <c r="H160" s="2" t="n"/>
    </row>
    <row r="161" ht="15.75" customHeight="1" s="46">
      <c r="A161" s="2" t="n"/>
      <c r="B161" s="2" t="n"/>
      <c r="C161" s="2" t="n"/>
      <c r="D161" s="2" t="n"/>
      <c r="E161" s="2" t="n"/>
      <c r="F161" s="2" t="n"/>
      <c r="G161" s="2" t="n"/>
      <c r="H161" s="2" t="n"/>
    </row>
    <row r="162" ht="15.75" customHeight="1" s="46">
      <c r="A162" s="2" t="n"/>
      <c r="B162" s="2" t="n"/>
      <c r="C162" s="2" t="n"/>
      <c r="D162" s="2" t="n"/>
      <c r="E162" s="2" t="n"/>
      <c r="F162" s="2" t="n"/>
      <c r="G162" s="2" t="n"/>
      <c r="H162" s="2" t="n"/>
    </row>
    <row r="163" ht="15.75" customHeight="1" s="46">
      <c r="A163" s="2" t="n"/>
      <c r="B163" s="2" t="n"/>
      <c r="C163" s="2" t="n"/>
      <c r="D163" s="2" t="n"/>
      <c r="E163" s="2" t="n"/>
      <c r="F163" s="2" t="n"/>
      <c r="G163" s="2" t="n"/>
      <c r="H163" s="2" t="n"/>
    </row>
    <row r="164" ht="15.75" customHeight="1" s="46">
      <c r="A164" s="2" t="n"/>
      <c r="B164" s="2" t="n"/>
      <c r="C164" s="2" t="n"/>
      <c r="D164" s="2" t="n"/>
      <c r="E164" s="2" t="n"/>
      <c r="F164" s="2" t="n"/>
      <c r="G164" s="2" t="n"/>
      <c r="H164" s="2" t="n"/>
    </row>
    <row r="165" ht="15.75" customHeight="1" s="46">
      <c r="A165" s="2" t="n"/>
      <c r="B165" s="2" t="n"/>
      <c r="C165" s="2" t="n"/>
      <c r="D165" s="2" t="n"/>
      <c r="E165" s="2" t="n"/>
      <c r="F165" s="2" t="n"/>
      <c r="G165" s="2" t="n"/>
      <c r="H165" s="2" t="n"/>
    </row>
    <row r="166" ht="15.75" customHeight="1" s="46">
      <c r="A166" s="2" t="n"/>
      <c r="B166" s="2" t="n"/>
      <c r="C166" s="2" t="n"/>
      <c r="D166" s="2" t="n"/>
      <c r="E166" s="2" t="n"/>
      <c r="F166" s="2" t="n"/>
      <c r="G166" s="2" t="n"/>
      <c r="H166" s="2" t="n"/>
    </row>
    <row r="167" ht="15.75" customHeight="1" s="46">
      <c r="A167" s="2" t="n"/>
      <c r="B167" s="2" t="n"/>
      <c r="C167" s="2" t="n"/>
      <c r="D167" s="2" t="n"/>
      <c r="E167" s="2" t="n"/>
      <c r="F167" s="2" t="n"/>
      <c r="G167" s="2" t="n"/>
      <c r="H167" s="2" t="n"/>
    </row>
    <row r="168" ht="15.75" customHeight="1" s="46">
      <c r="A168" s="2" t="n"/>
      <c r="B168" s="2" t="n"/>
      <c r="C168" s="2" t="n"/>
      <c r="D168" s="2" t="n"/>
      <c r="E168" s="2" t="n"/>
      <c r="F168" s="2" t="n"/>
      <c r="G168" s="2" t="n"/>
      <c r="H168" s="2" t="n"/>
    </row>
    <row r="169" ht="15.75" customHeight="1" s="46">
      <c r="A169" s="2" t="n"/>
      <c r="B169" s="2" t="n"/>
      <c r="C169" s="2" t="n"/>
      <c r="D169" s="2" t="n"/>
      <c r="E169" s="2" t="n"/>
      <c r="F169" s="2" t="n"/>
      <c r="G169" s="2" t="n"/>
      <c r="H169" s="2" t="n"/>
    </row>
    <row r="170" ht="15.75" customHeight="1" s="46">
      <c r="A170" s="2" t="n"/>
      <c r="B170" s="2" t="n"/>
      <c r="C170" s="2" t="n"/>
      <c r="D170" s="2" t="n"/>
      <c r="E170" s="2" t="n"/>
      <c r="F170" s="2" t="n"/>
      <c r="G170" s="2" t="n"/>
      <c r="H170" s="2" t="n"/>
    </row>
    <row r="171" ht="15.75" customHeight="1" s="46">
      <c r="A171" s="2" t="n"/>
      <c r="B171" s="2" t="n"/>
      <c r="C171" s="2" t="n"/>
      <c r="D171" s="2" t="n"/>
      <c r="E171" s="2" t="n"/>
      <c r="F171" s="2" t="n"/>
      <c r="G171" s="2" t="n"/>
      <c r="H171" s="2" t="n"/>
    </row>
    <row r="172" ht="15.75" customHeight="1" s="46">
      <c r="A172" s="2" t="n"/>
      <c r="B172" s="2" t="n"/>
      <c r="C172" s="2" t="n"/>
      <c r="D172" s="2" t="n"/>
      <c r="E172" s="2" t="n"/>
      <c r="F172" s="2" t="n"/>
      <c r="G172" s="2" t="n"/>
      <c r="H172" s="2" t="n"/>
    </row>
    <row r="173" ht="15.75" customHeight="1" s="46">
      <c r="A173" s="2" t="n"/>
      <c r="B173" s="2" t="n"/>
      <c r="C173" s="2" t="n"/>
      <c r="D173" s="2" t="n"/>
      <c r="E173" s="2" t="n"/>
      <c r="F173" s="2" t="n"/>
      <c r="G173" s="2" t="n"/>
      <c r="H173" s="2" t="n"/>
    </row>
    <row r="174" ht="15.75" customHeight="1" s="46">
      <c r="A174" s="2" t="n"/>
      <c r="B174" s="2" t="n"/>
      <c r="C174" s="2" t="n"/>
      <c r="D174" s="2" t="n"/>
      <c r="E174" s="2" t="n"/>
      <c r="F174" s="2" t="n"/>
      <c r="G174" s="2" t="n"/>
      <c r="H174" s="2" t="n"/>
    </row>
    <row r="175" ht="15.75" customHeight="1" s="46">
      <c r="A175" s="2" t="n"/>
      <c r="B175" s="2" t="n"/>
      <c r="C175" s="2" t="n"/>
      <c r="D175" s="2" t="n"/>
      <c r="E175" s="2" t="n"/>
      <c r="F175" s="2" t="n"/>
      <c r="G175" s="2" t="n"/>
      <c r="H175" s="2" t="n"/>
    </row>
    <row r="176" ht="15.75" customHeight="1" s="46">
      <c r="A176" s="2" t="n"/>
      <c r="B176" s="2" t="n"/>
      <c r="C176" s="2" t="n"/>
      <c r="D176" s="2" t="n"/>
      <c r="E176" s="2" t="n"/>
      <c r="F176" s="2" t="n"/>
      <c r="G176" s="2" t="n"/>
      <c r="H176" s="2" t="n"/>
    </row>
    <row r="177" ht="15.75" customHeight="1" s="46">
      <c r="A177" s="2" t="n"/>
      <c r="B177" s="2" t="n"/>
      <c r="C177" s="2" t="n"/>
      <c r="D177" s="2" t="n"/>
      <c r="E177" s="2" t="n"/>
      <c r="F177" s="2" t="n"/>
      <c r="G177" s="2" t="n"/>
      <c r="H177" s="2" t="n"/>
    </row>
    <row r="178" ht="15.75" customHeight="1" s="46">
      <c r="A178" s="2" t="n"/>
      <c r="B178" s="2" t="n"/>
      <c r="C178" s="2" t="n"/>
      <c r="D178" s="2" t="n"/>
      <c r="E178" s="2" t="n"/>
      <c r="F178" s="2" t="n"/>
      <c r="G178" s="2" t="n"/>
      <c r="H178" s="2" t="n"/>
    </row>
    <row r="179" ht="15.75" customHeight="1" s="46">
      <c r="A179" s="2" t="n"/>
      <c r="B179" s="2" t="n"/>
      <c r="C179" s="2" t="n"/>
      <c r="D179" s="2" t="n"/>
      <c r="E179" s="2" t="n"/>
      <c r="F179" s="2" t="n"/>
      <c r="G179" s="2" t="n"/>
      <c r="H179" s="2" t="n"/>
    </row>
    <row r="180" ht="15.75" customHeight="1" s="46">
      <c r="A180" s="2" t="n"/>
      <c r="B180" s="2" t="n"/>
      <c r="C180" s="2" t="n"/>
      <c r="D180" s="2" t="n"/>
      <c r="E180" s="2" t="n"/>
      <c r="F180" s="2" t="n"/>
      <c r="G180" s="2" t="n"/>
      <c r="H180" s="2" t="n"/>
    </row>
    <row r="181" ht="15.75" customHeight="1" s="46">
      <c r="A181" s="2" t="n"/>
      <c r="B181" s="2" t="n"/>
      <c r="C181" s="2" t="n"/>
      <c r="D181" s="2" t="n"/>
      <c r="E181" s="2" t="n"/>
      <c r="F181" s="2" t="n"/>
      <c r="G181" s="2" t="n"/>
      <c r="H181" s="2" t="n"/>
    </row>
    <row r="182" ht="15.75" customHeight="1" s="46">
      <c r="A182" s="2" t="n"/>
      <c r="B182" s="2" t="n"/>
      <c r="C182" s="2" t="n"/>
      <c r="D182" s="2" t="n"/>
      <c r="E182" s="2" t="n"/>
      <c r="F182" s="2" t="n"/>
      <c r="G182" s="2" t="n"/>
      <c r="H182" s="2" t="n"/>
    </row>
    <row r="183" ht="15.75" customHeight="1" s="46">
      <c r="A183" s="2" t="n"/>
      <c r="B183" s="2" t="n"/>
      <c r="C183" s="2" t="n"/>
      <c r="D183" s="2" t="n"/>
      <c r="E183" s="2" t="n"/>
      <c r="F183" s="2" t="n"/>
      <c r="G183" s="2" t="n"/>
      <c r="H183" s="2" t="n"/>
    </row>
    <row r="184" ht="15.75" customHeight="1" s="46">
      <c r="A184" s="2" t="n"/>
      <c r="B184" s="2" t="n"/>
      <c r="C184" s="2" t="n"/>
      <c r="D184" s="2" t="n"/>
      <c r="E184" s="2" t="n"/>
      <c r="F184" s="2" t="n"/>
      <c r="G184" s="2" t="n"/>
      <c r="H184" s="2" t="n"/>
    </row>
    <row r="185" ht="15.75" customHeight="1" s="46">
      <c r="A185" s="2" t="n"/>
      <c r="B185" s="2" t="n"/>
      <c r="C185" s="2" t="n"/>
      <c r="D185" s="2" t="n"/>
      <c r="E185" s="2" t="n"/>
      <c r="F185" s="2" t="n"/>
      <c r="G185" s="2" t="n"/>
      <c r="H185" s="2" t="n"/>
    </row>
    <row r="186" ht="15.75" customHeight="1" s="46">
      <c r="A186" s="2" t="n"/>
      <c r="B186" s="2" t="n"/>
      <c r="C186" s="2" t="n"/>
      <c r="D186" s="2" t="n"/>
      <c r="E186" s="2" t="n"/>
      <c r="F186" s="2" t="n"/>
      <c r="G186" s="2" t="n"/>
      <c r="H186" s="2" t="n"/>
    </row>
    <row r="187" ht="15.75" customHeight="1" s="46">
      <c r="A187" s="2" t="n"/>
      <c r="B187" s="2" t="n"/>
      <c r="C187" s="2" t="n"/>
      <c r="D187" s="2" t="n"/>
      <c r="E187" s="2" t="n"/>
      <c r="F187" s="2" t="n"/>
      <c r="G187" s="2" t="n"/>
      <c r="H187" s="2" t="n"/>
    </row>
    <row r="188" ht="15.75" customHeight="1" s="46">
      <c r="A188" s="2" t="n"/>
      <c r="B188" s="2" t="n"/>
      <c r="C188" s="2" t="n"/>
      <c r="D188" s="2" t="n"/>
      <c r="E188" s="2" t="n"/>
      <c r="F188" s="2" t="n"/>
      <c r="G188" s="2" t="n"/>
      <c r="H188" s="2" t="n"/>
    </row>
    <row r="189" ht="15.75" customHeight="1" s="46">
      <c r="A189" s="2" t="n"/>
      <c r="B189" s="2" t="n"/>
      <c r="C189" s="2" t="n"/>
      <c r="D189" s="2" t="n"/>
      <c r="E189" s="2" t="n"/>
      <c r="F189" s="2" t="n"/>
      <c r="G189" s="2" t="n"/>
      <c r="H189" s="2" t="n"/>
    </row>
    <row r="190" ht="15.75" customHeight="1" s="46">
      <c r="A190" s="2" t="n"/>
      <c r="B190" s="2" t="n"/>
      <c r="C190" s="2" t="n"/>
      <c r="D190" s="2" t="n"/>
      <c r="E190" s="2" t="n"/>
      <c r="F190" s="2" t="n"/>
      <c r="G190" s="2" t="n"/>
      <c r="H190" s="2" t="n"/>
    </row>
    <row r="191" ht="15.75" customHeight="1" s="46">
      <c r="A191" s="2" t="n"/>
      <c r="B191" s="2" t="n"/>
      <c r="C191" s="2" t="n"/>
      <c r="D191" s="2" t="n"/>
      <c r="E191" s="2" t="n"/>
      <c r="F191" s="2" t="n"/>
      <c r="G191" s="2" t="n"/>
      <c r="H191" s="2" t="n"/>
    </row>
    <row r="192" ht="15.75" customHeight="1" s="46">
      <c r="A192" s="2" t="n"/>
      <c r="B192" s="2" t="n"/>
      <c r="C192" s="2" t="n"/>
      <c r="D192" s="2" t="n"/>
      <c r="E192" s="2" t="n"/>
      <c r="F192" s="2" t="n"/>
      <c r="G192" s="2" t="n"/>
      <c r="H192" s="2" t="n"/>
    </row>
    <row r="193" ht="15.75" customHeight="1" s="46">
      <c r="A193" s="2" t="n"/>
      <c r="B193" s="2" t="n"/>
      <c r="C193" s="2" t="n"/>
      <c r="D193" s="2" t="n"/>
      <c r="E193" s="2" t="n"/>
      <c r="F193" s="2" t="n"/>
      <c r="G193" s="2" t="n"/>
      <c r="H193" s="2" t="n"/>
    </row>
    <row r="194" ht="15.75" customHeight="1" s="46">
      <c r="A194" s="2" t="n"/>
      <c r="B194" s="2" t="n"/>
      <c r="C194" s="2" t="n"/>
      <c r="D194" s="2" t="n"/>
      <c r="E194" s="2" t="n"/>
      <c r="F194" s="2" t="n"/>
      <c r="G194" s="2" t="n"/>
      <c r="H194" s="2" t="n"/>
    </row>
    <row r="195" ht="15.75" customHeight="1" s="46">
      <c r="A195" s="2" t="n"/>
      <c r="B195" s="2" t="n"/>
      <c r="C195" s="2" t="n"/>
      <c r="D195" s="2" t="n"/>
      <c r="E195" s="2" t="n"/>
      <c r="F195" s="2" t="n"/>
      <c r="G195" s="2" t="n"/>
      <c r="H195" s="2" t="n"/>
    </row>
    <row r="196" ht="15.75" customHeight="1" s="46">
      <c r="A196" s="2" t="n"/>
      <c r="B196" s="2" t="n"/>
      <c r="C196" s="2" t="n"/>
      <c r="D196" s="2" t="n"/>
      <c r="E196" s="2" t="n"/>
      <c r="F196" s="2" t="n"/>
      <c r="G196" s="2" t="n"/>
      <c r="H196" s="2" t="n"/>
    </row>
    <row r="197" ht="15.75" customHeight="1" s="46">
      <c r="A197" s="2" t="n"/>
      <c r="B197" s="2" t="n"/>
      <c r="C197" s="2" t="n"/>
      <c r="D197" s="2" t="n"/>
      <c r="E197" s="2" t="n"/>
      <c r="F197" s="2" t="n"/>
      <c r="G197" s="2" t="n"/>
      <c r="H197" s="2" t="n"/>
    </row>
    <row r="198" ht="15.75" customHeight="1" s="46">
      <c r="A198" s="2" t="n"/>
      <c r="B198" s="2" t="n"/>
      <c r="C198" s="2" t="n"/>
      <c r="D198" s="2" t="n"/>
      <c r="E198" s="2" t="n"/>
      <c r="F198" s="2" t="n"/>
      <c r="G198" s="2" t="n"/>
      <c r="H198" s="2" t="n"/>
    </row>
    <row r="199" ht="15.75" customHeight="1" s="46">
      <c r="A199" s="2" t="n"/>
      <c r="B199" s="2" t="n"/>
      <c r="C199" s="2" t="n"/>
      <c r="D199" s="2" t="n"/>
      <c r="E199" s="2" t="n"/>
      <c r="F199" s="2" t="n"/>
      <c r="G199" s="2" t="n"/>
      <c r="H199" s="2" t="n"/>
    </row>
    <row r="200" ht="15.75" customHeight="1" s="46">
      <c r="A200" s="2" t="n"/>
      <c r="B200" s="2" t="n"/>
      <c r="C200" s="2" t="n"/>
      <c r="D200" s="2" t="n"/>
      <c r="E200" s="2" t="n"/>
      <c r="F200" s="2" t="n"/>
      <c r="G200" s="2" t="n"/>
      <c r="H200" s="2" t="n"/>
    </row>
    <row r="201" ht="15.75" customHeight="1" s="46">
      <c r="A201" s="2" t="n"/>
      <c r="B201" s="2" t="n"/>
      <c r="C201" s="2" t="n"/>
      <c r="D201" s="2" t="n"/>
      <c r="E201" s="2" t="n"/>
      <c r="F201" s="2" t="n"/>
      <c r="G201" s="2" t="n"/>
      <c r="H201" s="2" t="n"/>
    </row>
    <row r="202" ht="15.75" customHeight="1" s="46">
      <c r="A202" s="2" t="n"/>
      <c r="B202" s="2" t="n"/>
      <c r="C202" s="2" t="n"/>
      <c r="D202" s="2" t="n"/>
      <c r="E202" s="2" t="n"/>
      <c r="F202" s="2" t="n"/>
      <c r="G202" s="2" t="n"/>
      <c r="H202" s="2" t="n"/>
    </row>
    <row r="203" ht="15.75" customHeight="1" s="46">
      <c r="A203" s="2" t="n"/>
      <c r="B203" s="2" t="n"/>
      <c r="C203" s="2" t="n"/>
      <c r="D203" s="2" t="n"/>
      <c r="E203" s="2" t="n"/>
      <c r="F203" s="2" t="n"/>
      <c r="G203" s="2" t="n"/>
      <c r="H203" s="2" t="n"/>
    </row>
    <row r="204" ht="15.75" customHeight="1" s="46">
      <c r="A204" s="2" t="n"/>
      <c r="B204" s="2" t="n"/>
      <c r="C204" s="2" t="n"/>
      <c r="D204" s="2" t="n"/>
      <c r="E204" s="2" t="n"/>
      <c r="F204" s="2" t="n"/>
      <c r="G204" s="2" t="n"/>
      <c r="H204" s="2" t="n"/>
    </row>
    <row r="205" ht="15.75" customHeight="1" s="46">
      <c r="A205" s="2" t="n"/>
      <c r="B205" s="2" t="n"/>
      <c r="C205" s="2" t="n"/>
      <c r="D205" s="2" t="n"/>
      <c r="E205" s="2" t="n"/>
      <c r="F205" s="2" t="n"/>
      <c r="G205" s="2" t="n"/>
      <c r="H205" s="2" t="n"/>
    </row>
    <row r="206" ht="15.75" customHeight="1" s="46">
      <c r="A206" s="2" t="n"/>
      <c r="B206" s="2" t="n"/>
      <c r="C206" s="2" t="n"/>
      <c r="D206" s="2" t="n"/>
      <c r="E206" s="2" t="n"/>
      <c r="F206" s="2" t="n"/>
      <c r="G206" s="2" t="n"/>
      <c r="H206" s="2" t="n"/>
    </row>
    <row r="207" ht="15.75" customHeight="1" s="46">
      <c r="A207" s="2" t="n"/>
      <c r="B207" s="2" t="n"/>
      <c r="C207" s="2" t="n"/>
      <c r="D207" s="2" t="n"/>
      <c r="E207" s="2" t="n"/>
      <c r="F207" s="2" t="n"/>
      <c r="G207" s="2" t="n"/>
      <c r="H207" s="2" t="n"/>
    </row>
    <row r="208" ht="15.75" customHeight="1" s="46">
      <c r="A208" s="2" t="n"/>
      <c r="B208" s="2" t="n"/>
      <c r="C208" s="2" t="n"/>
      <c r="D208" s="2" t="n"/>
      <c r="E208" s="2" t="n"/>
      <c r="F208" s="2" t="n"/>
      <c r="G208" s="2" t="n"/>
      <c r="H208" s="2" t="n"/>
    </row>
    <row r="209" ht="15.75" customHeight="1" s="46">
      <c r="A209" s="2" t="n"/>
      <c r="B209" s="2" t="n"/>
      <c r="C209" s="2" t="n"/>
      <c r="D209" s="2" t="n"/>
      <c r="E209" s="2" t="n"/>
      <c r="F209" s="2" t="n"/>
      <c r="G209" s="2" t="n"/>
      <c r="H209" s="2" t="n"/>
    </row>
    <row r="210" ht="15.75" customHeight="1" s="46">
      <c r="A210" s="2" t="n"/>
      <c r="B210" s="2" t="n"/>
      <c r="C210" s="2" t="n"/>
      <c r="D210" s="2" t="n"/>
      <c r="E210" s="2" t="n"/>
      <c r="F210" s="2" t="n"/>
      <c r="G210" s="2" t="n"/>
      <c r="H210" s="2" t="n"/>
    </row>
    <row r="211" ht="15.75" customHeight="1" s="46">
      <c r="A211" s="2" t="n"/>
      <c r="B211" s="2" t="n"/>
      <c r="C211" s="2" t="n"/>
      <c r="D211" s="2" t="n"/>
      <c r="E211" s="2" t="n"/>
      <c r="F211" s="2" t="n"/>
      <c r="G211" s="2" t="n"/>
      <c r="H211" s="2" t="n"/>
    </row>
    <row r="212" ht="15.75" customHeight="1" s="46">
      <c r="A212" s="2" t="n"/>
      <c r="B212" s="2" t="n"/>
      <c r="C212" s="2" t="n"/>
      <c r="D212" s="2" t="n"/>
      <c r="E212" s="2" t="n"/>
      <c r="F212" s="2" t="n"/>
      <c r="G212" s="2" t="n"/>
      <c r="H212" s="2" t="n"/>
    </row>
    <row r="213" ht="15.75" customHeight="1" s="46">
      <c r="A213" s="2" t="n"/>
      <c r="B213" s="2" t="n"/>
      <c r="C213" s="2" t="n"/>
      <c r="D213" s="2" t="n"/>
      <c r="E213" s="2" t="n"/>
      <c r="F213" s="2" t="n"/>
      <c r="G213" s="2" t="n"/>
      <c r="H213" s="2" t="n"/>
    </row>
    <row r="214" ht="15.75" customHeight="1" s="46">
      <c r="A214" s="2" t="n"/>
      <c r="B214" s="2" t="n"/>
      <c r="C214" s="2" t="n"/>
      <c r="D214" s="2" t="n"/>
      <c r="E214" s="2" t="n"/>
      <c r="F214" s="2" t="n"/>
      <c r="G214" s="2" t="n"/>
      <c r="H214" s="2" t="n"/>
    </row>
    <row r="215" ht="15.75" customHeight="1" s="46">
      <c r="A215" s="2" t="n"/>
      <c r="B215" s="2" t="n"/>
      <c r="C215" s="2" t="n"/>
      <c r="D215" s="2" t="n"/>
      <c r="E215" s="2" t="n"/>
      <c r="F215" s="2" t="n"/>
      <c r="G215" s="2" t="n"/>
      <c r="H215" s="2" t="n"/>
    </row>
    <row r="216" ht="15.75" customHeight="1" s="46">
      <c r="A216" s="2" t="n"/>
      <c r="B216" s="2" t="n"/>
      <c r="C216" s="2" t="n"/>
      <c r="D216" s="2" t="n"/>
      <c r="E216" s="2" t="n"/>
      <c r="F216" s="2" t="n"/>
      <c r="G216" s="2" t="n"/>
      <c r="H216" s="2" t="n"/>
    </row>
    <row r="217" ht="15.75" customHeight="1" s="46">
      <c r="A217" s="2" t="n"/>
      <c r="B217" s="2" t="n"/>
      <c r="C217" s="2" t="n"/>
      <c r="D217" s="2" t="n"/>
      <c r="E217" s="2" t="n"/>
      <c r="F217" s="2" t="n"/>
      <c r="G217" s="2" t="n"/>
      <c r="H217" s="2" t="n"/>
    </row>
    <row r="218" ht="15.75" customHeight="1" s="46">
      <c r="A218" s="2" t="n"/>
      <c r="B218" s="2" t="n"/>
      <c r="C218" s="2" t="n"/>
      <c r="D218" s="2" t="n"/>
      <c r="E218" s="2" t="n"/>
      <c r="F218" s="2" t="n"/>
      <c r="G218" s="2" t="n"/>
      <c r="H218" s="2" t="n"/>
    </row>
    <row r="219" ht="15.75" customHeight="1" s="46">
      <c r="A219" s="2" t="n"/>
      <c r="B219" s="2" t="n"/>
      <c r="C219" s="2" t="n"/>
      <c r="D219" s="2" t="n"/>
      <c r="E219" s="2" t="n"/>
      <c r="F219" s="2" t="n"/>
      <c r="G219" s="2" t="n"/>
      <c r="H219" s="2" t="n"/>
    </row>
    <row r="220" ht="15.75" customHeight="1" s="46">
      <c r="A220" s="2" t="n"/>
      <c r="B220" s="2" t="n"/>
      <c r="C220" s="2" t="n"/>
      <c r="D220" s="2" t="n"/>
      <c r="E220" s="2" t="n"/>
      <c r="F220" s="2" t="n"/>
      <c r="G220" s="2" t="n"/>
      <c r="H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5.xml><?xml version="1.0" encoding="utf-8"?>
<worksheet xmlns="http://schemas.openxmlformats.org/spreadsheetml/2006/main">
  <sheetPr>
    <outlinePr summaryBelow="1" summaryRight="1"/>
    <pageSetUpPr/>
  </sheetPr>
  <dimension ref="A1:D22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2" customWidth="1" style="46" min="2" max="2"/>
    <col width="62" customWidth="1" style="46" min="3" max="3"/>
    <col width="40" customWidth="1" style="46" min="4" max="4"/>
    <col width="8.710000000000001" customWidth="1" style="46" min="5" max="6"/>
  </cols>
  <sheetData>
    <row r="1" ht="17.25" customHeight="1" s="46">
      <c r="A1" s="1" t="inlineStr">
        <is>
          <t>Step 5: decisions (and what step 4 left open)</t>
        </is>
      </c>
      <c r="B1" s="2" t="n"/>
      <c r="C1" s="2" t="n"/>
      <c r="D1" s="2" t="n"/>
    </row>
    <row r="2" ht="15" customHeight="1" s="46">
      <c r="A2" s="3" t="inlineStr">
        <is>
          <t>My recommendation first; yours in the yellow column.</t>
        </is>
      </c>
      <c r="B2" s="2" t="n"/>
      <c r="C2" s="2" t="n"/>
      <c r="D2" s="2" t="n"/>
    </row>
    <row r="3">
      <c r="A3" s="2" t="n"/>
      <c r="B3" s="2" t="n"/>
      <c r="C3" s="2" t="n"/>
      <c r="D3" s="2" t="n"/>
    </row>
    <row r="4" ht="15" customHeight="1" s="46">
      <c r="A4" s="9" t="inlineStr">
        <is>
          <t>#</t>
        </is>
      </c>
      <c r="B4" s="9" t="inlineStr">
        <is>
          <t>Question</t>
        </is>
      </c>
      <c r="C4" s="9" t="inlineStr">
        <is>
          <t>My recommendation</t>
        </is>
      </c>
      <c r="D4" s="9" t="inlineStr">
        <is>
          <t>Your answer</t>
        </is>
      </c>
    </row>
    <row r="5" ht="42" customHeight="1" s="46">
      <c r="A5" s="7" t="n">
        <v>1</v>
      </c>
      <c r="B5" s="7" t="inlineStr">
        <is>
          <t>A fourth manor level, the Fortified Manor, at Borough?</t>
        </is>
      </c>
      <c r="C5" s="7" t="inlineStr">
        <is>
          <t>Yes: the manor otherwise stops growing at Town, while the town goes on to Borough and City.</t>
        </is>
      </c>
      <c r="D5" s="45" t="inlineStr">
        <is>
          <t>Ok! But maybe we can make a palace intead of fortified manor, since we already have fortification around it</t>
        </is>
      </c>
    </row>
    <row r="6" ht="42" customHeight="1" s="46">
      <c r="A6" s="7" t="n">
        <v>2</v>
      </c>
      <c r="B6" s="7" t="inlineStr">
        <is>
          <t>Town walls exempt from touching the manor?</t>
        </is>
      </c>
      <c r="C6" s="7" t="inlineStr">
        <is>
          <t>Yes: they ring the town. Watch towers and the gatehouse too, since they stand on the wall.</t>
        </is>
      </c>
      <c r="D6" s="45" t="inlineStr">
        <is>
          <t>Ok</t>
        </is>
      </c>
    </row>
    <row r="7" ht="42" customHeight="1" s="46">
      <c r="A7" s="7" t="n">
        <v>3</v>
      </c>
      <c r="B7" s="7" t="inlineStr">
        <is>
          <t>New manor buildings: dovecote, stew pond, deer park, tiltyard, gatehouse. Which?</t>
        </is>
      </c>
      <c r="C7" s="7" t="inlineStr">
        <is>
          <t>All five are small; if fewer, keep the tiltyard and the deer park (they tie into fairs and the Royal Hunt).</t>
        </is>
      </c>
      <c r="D7" s="45" t="inlineStr">
        <is>
          <t>Refer to page</t>
        </is>
      </c>
    </row>
    <row r="8" ht="27.75" customHeight="1" s="46">
      <c r="A8" s="7" t="n">
        <v>4</v>
      </c>
      <c r="B8" s="7" t="inlineStr">
        <is>
          <t>Retinue without arms: 60 prestige, 25 coins and an armoury; 3 coins a month.</t>
        </is>
      </c>
      <c r="C8" s="7" t="inlineStr">
        <is>
          <t>Yes.</t>
        </is>
      </c>
      <c r="D8" s="45" t="inlineStr">
        <is>
          <t xml:space="preserve">Retinue without arms? Where is it from? </t>
        </is>
      </c>
    </row>
    <row r="9" ht="27.75" customHeight="1" s="46">
      <c r="A9" s="7" t="n">
        <v>5</v>
      </c>
      <c r="B9" s="7" t="inlineStr">
        <is>
          <t>Fairs at 100 coins (half again each time) instead of 400.</t>
        </is>
      </c>
      <c r="C9" s="7" t="inlineStr">
        <is>
          <t>Yes, to match the cheaper coin costs.</t>
        </is>
      </c>
      <c r="D9" s="45" t="inlineStr">
        <is>
          <t>ok</t>
        </is>
      </c>
    </row>
    <row r="10" ht="42" customHeight="1" s="46">
      <c r="A10" s="7" t="n">
        <v>6</v>
      </c>
      <c r="B10" s="7" t="inlineStr">
        <is>
          <t>Works of art need goods: the tapestry cloth and dyes, the windows 6 stained glass.</t>
        </is>
      </c>
      <c r="C10" s="7" t="inlineStr">
        <is>
          <t>Yes: prestige plus the showpiece goods.</t>
        </is>
      </c>
      <c r="D10" s="45" t="inlineStr">
        <is>
          <t>Reworked</t>
        </is>
      </c>
    </row>
    <row r="11" ht="27.75" customHeight="1" s="46">
      <c r="A11" s="7" t="n">
        <v>7</v>
      </c>
      <c r="B11" s="7" t="inlineStr">
        <is>
          <t>Which Great Works count for the Patrician House?</t>
        </is>
      </c>
      <c r="C11" s="7" t="inlineStr">
        <is>
          <t>Any but the statue, anywhere in town.</t>
        </is>
      </c>
      <c r="D11" s="45" t="inlineStr">
        <is>
          <t>Reworked</t>
        </is>
      </c>
    </row>
    <row r="12" ht="42" customHeight="1" s="46">
      <c r="A12" s="7" t="n">
        <v>8</v>
      </c>
      <c r="B12" s="7" t="inlineStr">
        <is>
          <t>Bell tower and guildhall get a second effect (festivals and warnings; cheaper charters).</t>
        </is>
      </c>
      <c r="C12" s="7" t="inlineStr">
        <is>
          <t>Yes: every Great Work should change something, not just add prestige.</t>
        </is>
      </c>
      <c r="D12" s="45" t="inlineStr">
        <is>
          <t>Belltower increase general efficiency by 2%</t>
        </is>
      </c>
    </row>
    <row r="13" ht="27.75" customHeight="1" s="46">
      <c r="A13" s="7" t="n">
        <v>9</v>
      </c>
      <c r="B13" s="7" t="inlineStr">
        <is>
          <t>Pears are learned in step 1 (with plums) and again here as a variant.</t>
        </is>
      </c>
      <c r="C13" s="7" t="inlineStr">
        <is>
          <t>Pears move to step 4 with their slow, rich trait; plums stay in step 1.</t>
        </is>
      </c>
      <c r="D13" s="45" t="inlineStr">
        <is>
          <t>ok</t>
        </is>
      </c>
    </row>
    <row r="14" ht="13.5" customHeight="1" s="46">
      <c r="A14" s="7" t="n">
        <v>10</v>
      </c>
      <c r="B14" s="7" t="inlineStr">
        <is>
          <t>Strawberries: a new good, or berries?</t>
        </is>
      </c>
      <c r="C14" s="7" t="inlineStr">
        <is>
          <t>Berries: no new good (G17).</t>
        </is>
      </c>
      <c r="D14" s="45" t="inlineStr">
        <is>
          <t>I thought of new good</t>
        </is>
      </c>
    </row>
    <row r="15" ht="13.5" customHeight="1" s="46">
      <c r="A15" s="7" t="n">
        <v>11</v>
      </c>
      <c r="B15" s="7" t="inlineStr">
        <is>
          <t>Holstein and Wagyu are modern names.</t>
        </is>
      </c>
      <c r="C15" s="7" t="inlineStr">
        <is>
          <t>Frisian (milk) and Highland (beef).</t>
        </is>
      </c>
      <c r="D15" s="45" t="inlineStr">
        <is>
          <t>sounds good</t>
        </is>
      </c>
    </row>
    <row r="16" ht="42" customHeight="1" s="46">
      <c r="A16" s="7" t="n">
        <v>12</v>
      </c>
      <c r="B16" s="7" t="inlineStr">
        <is>
          <t>Toll navigation and Trade deals have the same text.</t>
        </is>
      </c>
      <c r="C16" s="7" t="inlineStr">
        <is>
          <t>Toll navigation for docks, Trade deals for trading posts: the same bonus where each applies.</t>
        </is>
      </c>
      <c r="D16" s="45" t="inlineStr">
        <is>
          <t>No, it is the same effect and apply to all trade</t>
        </is>
      </c>
    </row>
    <row r="17" ht="27.75" customHeight="1" s="46">
      <c r="A17" s="7" t="n">
        <v>13</v>
      </c>
      <c r="B17" s="7" t="inlineStr">
        <is>
          <t>Huge ships: 12 timber and 6 wood parts a month?</t>
        </is>
      </c>
      <c r="C17" s="7" t="inlineStr">
        <is>
          <t>A year; a month would be the highest upkeep in the game by far.</t>
        </is>
      </c>
      <c r="D17" s="45" t="inlineStr">
        <is>
          <t>yes, a year</t>
        </is>
      </c>
    </row>
    <row r="18" ht="27.75" customHeight="1" s="46">
      <c r="A18" s="7" t="n">
        <v>14</v>
      </c>
      <c r="B18" s="7" t="inlineStr">
        <is>
          <t>Roofs and heraldic banners left the table: dropped on purpose?</t>
        </is>
      </c>
      <c r="C18" s="7" t="inlineStr">
        <is>
          <t>If not, I'd keep the banners: they put the arms editor into the town.</t>
        </is>
      </c>
      <c r="D18" s="45" t="inlineStr">
        <is>
          <t>Ok, keep banners</t>
        </is>
      </c>
    </row>
    <row r="19" ht="55.5" customHeight="1" s="46">
      <c r="A19" s="7" t="n">
        <v>15</v>
      </c>
      <c r="B19" s="7" t="inlineStr">
        <is>
          <t>Late knowledge: the Borough and City earn about 2,200; everything so far costs about 400.</t>
        </is>
      </c>
      <c r="C19" s="7" t="inlineStr">
        <is>
          <t>Lower the late sources (university 5, Merchant's House 0.15) and add a few big City projects to spend on; settle in step 7.</t>
        </is>
      </c>
      <c r="D19" s="45" t="inlineStr">
        <is>
          <t>I guess we should scale down from before or inflate no essential costs of later (by a lot, a player should have to play a lot of years to complete them all)</t>
        </is>
      </c>
    </row>
    <row r="20">
      <c r="A20" s="2" t="n"/>
      <c r="B20" s="2" t="n"/>
      <c r="C20" s="2" t="n"/>
      <c r="D20" s="2" t="n"/>
    </row>
    <row r="21" ht="15.75" customHeight="1" s="46">
      <c r="A21" s="2" t="n"/>
      <c r="B21" s="2" t="n"/>
      <c r="C21" s="2" t="n"/>
      <c r="D21" s="2" t="n"/>
    </row>
    <row r="22" ht="15.75" customHeight="1" s="46">
      <c r="A22" s="2" t="n"/>
      <c r="B22" s="2" t="n"/>
      <c r="C22" s="2" t="n"/>
      <c r="D22" s="2" t="n"/>
    </row>
    <row r="23" ht="15.75" customHeight="1" s="46">
      <c r="A23" s="2" t="n"/>
      <c r="B23" s="2" t="n"/>
      <c r="C23" s="2" t="n"/>
      <c r="D23" s="2" t="n"/>
    </row>
    <row r="24" ht="15.75" customHeight="1" s="46">
      <c r="A24" s="2" t="n"/>
      <c r="B24" s="2" t="n"/>
      <c r="C24" s="2" t="n"/>
      <c r="D24" s="2" t="n"/>
    </row>
    <row r="25" ht="15.75" customHeight="1" s="46">
      <c r="A25" s="2" t="n"/>
      <c r="B25" s="2" t="n"/>
      <c r="C25" s="2" t="n"/>
      <c r="D25" s="2" t="n"/>
    </row>
    <row r="26" ht="15.75" customHeight="1" s="46">
      <c r="A26" s="2" t="n"/>
      <c r="B26" s="2" t="n"/>
      <c r="C26" s="2" t="n"/>
      <c r="D26" s="2" t="n"/>
    </row>
    <row r="27" ht="15.75" customHeight="1" s="46">
      <c r="A27" s="2" t="n"/>
      <c r="B27" s="2" t="n"/>
      <c r="C27" s="2" t="n"/>
      <c r="D27" s="2" t="n"/>
    </row>
    <row r="28" ht="15.75" customHeight="1" s="46">
      <c r="A28" s="2" t="n"/>
      <c r="B28" s="2" t="n"/>
      <c r="C28" s="2" t="n"/>
      <c r="D28" s="2" t="n"/>
    </row>
    <row r="29" ht="15.75" customHeight="1" s="46">
      <c r="A29" s="2" t="n"/>
      <c r="B29" s="2" t="n"/>
      <c r="C29" s="2" t="n"/>
      <c r="D29" s="2" t="n"/>
    </row>
    <row r="30" ht="15.75" customHeight="1" s="46">
      <c r="A30" s="2" t="n"/>
      <c r="B30" s="2" t="n"/>
      <c r="C30" s="2" t="n"/>
      <c r="D30" s="2" t="n"/>
    </row>
    <row r="31" ht="15.75" customHeight="1" s="46">
      <c r="A31" s="2" t="n"/>
      <c r="B31" s="2" t="n"/>
      <c r="C31" s="2" t="n"/>
      <c r="D31" s="2" t="n"/>
    </row>
    <row r="32" ht="15.75" customHeight="1" s="46">
      <c r="A32" s="2" t="n"/>
      <c r="B32" s="2" t="n"/>
      <c r="C32" s="2" t="n"/>
      <c r="D32" s="2" t="n"/>
    </row>
    <row r="33" ht="15.75" customHeight="1" s="46">
      <c r="A33" s="2" t="n"/>
      <c r="B33" s="2" t="n"/>
      <c r="C33" s="2" t="n"/>
      <c r="D33" s="2" t="n"/>
    </row>
    <row r="34" ht="15.75" customHeight="1" s="46">
      <c r="A34" s="2" t="n"/>
      <c r="B34" s="2" t="n"/>
      <c r="C34" s="2" t="n"/>
      <c r="D34" s="2" t="n"/>
    </row>
    <row r="35" ht="15.75" customHeight="1" s="46">
      <c r="A35" s="2" t="n"/>
      <c r="B35" s="2" t="n"/>
      <c r="C35" s="2" t="n"/>
      <c r="D35" s="2" t="n"/>
    </row>
    <row r="36" ht="15.75" customHeight="1" s="46">
      <c r="A36" s="2" t="n"/>
      <c r="B36" s="2" t="n"/>
      <c r="C36" s="2" t="n"/>
      <c r="D36" s="2" t="n"/>
    </row>
    <row r="37" ht="15.75" customHeight="1" s="46">
      <c r="A37" s="2" t="n"/>
      <c r="B37" s="2" t="n"/>
      <c r="C37" s="2" t="n"/>
      <c r="D37" s="2" t="n"/>
    </row>
    <row r="38" ht="15.75" customHeight="1" s="46">
      <c r="A38" s="2" t="n"/>
      <c r="B38" s="2" t="n"/>
      <c r="C38" s="2" t="n"/>
      <c r="D38" s="2" t="n"/>
    </row>
    <row r="39" ht="15.75" customHeight="1" s="46">
      <c r="A39" s="2" t="n"/>
      <c r="B39" s="2" t="n"/>
      <c r="C39" s="2" t="n"/>
      <c r="D39" s="2" t="n"/>
    </row>
    <row r="40" ht="15.75" customHeight="1" s="46">
      <c r="A40" s="2" t="n"/>
      <c r="B40" s="2" t="n"/>
      <c r="C40" s="2" t="n"/>
      <c r="D40" s="2" t="n"/>
    </row>
    <row r="41" ht="15.75" customHeight="1" s="46">
      <c r="A41" s="2" t="n"/>
      <c r="B41" s="2" t="n"/>
      <c r="C41" s="2" t="n"/>
      <c r="D41" s="2" t="n"/>
    </row>
    <row r="42" ht="15.75" customHeight="1" s="46">
      <c r="A42" s="2" t="n"/>
      <c r="B42" s="2" t="n"/>
      <c r="C42" s="2" t="n"/>
      <c r="D42" s="2" t="n"/>
    </row>
    <row r="43" ht="15.75" customHeight="1" s="46">
      <c r="A43" s="2" t="n"/>
      <c r="B43" s="2" t="n"/>
      <c r="C43" s="2" t="n"/>
      <c r="D43" s="2" t="n"/>
    </row>
    <row r="44" ht="15.75" customHeight="1" s="46">
      <c r="A44" s="2" t="n"/>
      <c r="B44" s="2" t="n"/>
      <c r="C44" s="2" t="n"/>
      <c r="D44" s="2" t="n"/>
    </row>
    <row r="45" ht="15.75" customHeight="1" s="46">
      <c r="A45" s="2" t="n"/>
      <c r="B45" s="2" t="n"/>
      <c r="C45" s="2" t="n"/>
      <c r="D45" s="2" t="n"/>
    </row>
    <row r="46" ht="15.75" customHeight="1" s="46">
      <c r="A46" s="2" t="n"/>
      <c r="B46" s="2" t="n"/>
      <c r="C46" s="2" t="n"/>
      <c r="D46" s="2" t="n"/>
    </row>
    <row r="47" ht="15.75" customHeight="1" s="46">
      <c r="A47" s="2" t="n"/>
      <c r="B47" s="2" t="n"/>
      <c r="C47" s="2" t="n"/>
      <c r="D47" s="2" t="n"/>
    </row>
    <row r="48" ht="15.75" customHeight="1" s="46">
      <c r="A48" s="2" t="n"/>
      <c r="B48" s="2" t="n"/>
      <c r="C48" s="2" t="n"/>
      <c r="D48" s="2" t="n"/>
    </row>
    <row r="49" ht="15.75" customHeight="1" s="46">
      <c r="A49" s="2" t="n"/>
      <c r="B49" s="2" t="n"/>
      <c r="C49" s="2" t="n"/>
      <c r="D49" s="2" t="n"/>
    </row>
    <row r="50" ht="15.75" customHeight="1" s="46">
      <c r="A50" s="2" t="n"/>
      <c r="B50" s="2" t="n"/>
      <c r="C50" s="2" t="n"/>
      <c r="D50" s="2" t="n"/>
    </row>
    <row r="51" ht="15.75" customHeight="1" s="46">
      <c r="A51" s="2" t="n"/>
      <c r="B51" s="2" t="n"/>
      <c r="C51" s="2" t="n"/>
      <c r="D51" s="2" t="n"/>
    </row>
    <row r="52" ht="15.75" customHeight="1" s="46">
      <c r="A52" s="2" t="n"/>
      <c r="B52" s="2" t="n"/>
      <c r="C52" s="2" t="n"/>
      <c r="D52" s="2" t="n"/>
    </row>
    <row r="53" ht="15.75" customHeight="1" s="46">
      <c r="A53" s="2" t="n"/>
      <c r="B53" s="2" t="n"/>
      <c r="C53" s="2" t="n"/>
      <c r="D53" s="2" t="n"/>
    </row>
    <row r="54" ht="15.75" customHeight="1" s="46">
      <c r="A54" s="2" t="n"/>
      <c r="B54" s="2" t="n"/>
      <c r="C54" s="2" t="n"/>
      <c r="D54" s="2" t="n"/>
    </row>
    <row r="55" ht="15.75" customHeight="1" s="46">
      <c r="A55" s="2" t="n"/>
      <c r="B55" s="2" t="n"/>
      <c r="C55" s="2" t="n"/>
      <c r="D55" s="2" t="n"/>
    </row>
    <row r="56" ht="15.75" customHeight="1" s="46">
      <c r="A56" s="2" t="n"/>
      <c r="B56" s="2" t="n"/>
      <c r="C56" s="2" t="n"/>
      <c r="D56" s="2" t="n"/>
    </row>
    <row r="57" ht="15.75" customHeight="1" s="46">
      <c r="A57" s="2" t="n"/>
      <c r="B57" s="2" t="n"/>
      <c r="C57" s="2" t="n"/>
      <c r="D57" s="2" t="n"/>
    </row>
    <row r="58" ht="15.75" customHeight="1" s="46">
      <c r="A58" s="2" t="n"/>
      <c r="B58" s="2" t="n"/>
      <c r="C58" s="2" t="n"/>
      <c r="D58" s="2" t="n"/>
    </row>
    <row r="59" ht="15.75" customHeight="1" s="46">
      <c r="A59" s="2" t="n"/>
      <c r="B59" s="2" t="n"/>
      <c r="C59" s="2" t="n"/>
      <c r="D59" s="2" t="n"/>
    </row>
    <row r="60" ht="15.75" customHeight="1" s="46">
      <c r="A60" s="2" t="n"/>
      <c r="B60" s="2" t="n"/>
      <c r="C60" s="2" t="n"/>
      <c r="D60" s="2" t="n"/>
    </row>
    <row r="61" ht="15.75" customHeight="1" s="46">
      <c r="A61" s="2" t="n"/>
      <c r="B61" s="2" t="n"/>
      <c r="C61" s="2" t="n"/>
      <c r="D61" s="2" t="n"/>
    </row>
    <row r="62" ht="15.75" customHeight="1" s="46">
      <c r="A62" s="2" t="n"/>
      <c r="B62" s="2" t="n"/>
      <c r="C62" s="2" t="n"/>
      <c r="D62" s="2" t="n"/>
    </row>
    <row r="63" ht="15.75" customHeight="1" s="46">
      <c r="A63" s="2" t="n"/>
      <c r="B63" s="2" t="n"/>
      <c r="C63" s="2" t="n"/>
      <c r="D63" s="2" t="n"/>
    </row>
    <row r="64" ht="15.75" customHeight="1" s="46">
      <c r="A64" s="2" t="n"/>
      <c r="B64" s="2" t="n"/>
      <c r="C64" s="2" t="n"/>
      <c r="D64" s="2" t="n"/>
    </row>
    <row r="65" ht="15.75" customHeight="1" s="46">
      <c r="A65" s="2" t="n"/>
      <c r="B65" s="2" t="n"/>
      <c r="C65" s="2" t="n"/>
      <c r="D65" s="2" t="n"/>
    </row>
    <row r="66" ht="15.75" customHeight="1" s="46">
      <c r="A66" s="2" t="n"/>
      <c r="B66" s="2" t="n"/>
      <c r="C66" s="2" t="n"/>
      <c r="D66" s="2" t="n"/>
    </row>
    <row r="67" ht="15.75" customHeight="1" s="46">
      <c r="A67" s="2" t="n"/>
      <c r="B67" s="2" t="n"/>
      <c r="C67" s="2" t="n"/>
      <c r="D67" s="2" t="n"/>
    </row>
    <row r="68" ht="15.75" customHeight="1" s="46">
      <c r="A68" s="2" t="n"/>
      <c r="B68" s="2" t="n"/>
      <c r="C68" s="2" t="n"/>
      <c r="D68" s="2" t="n"/>
    </row>
    <row r="69" ht="15.75" customHeight="1" s="46">
      <c r="A69" s="2" t="n"/>
      <c r="B69" s="2" t="n"/>
      <c r="C69" s="2" t="n"/>
      <c r="D69" s="2" t="n"/>
    </row>
    <row r="70" ht="15.75" customHeight="1" s="46">
      <c r="A70" s="2" t="n"/>
      <c r="B70" s="2" t="n"/>
      <c r="C70" s="2" t="n"/>
      <c r="D70" s="2" t="n"/>
    </row>
    <row r="71" ht="15.75" customHeight="1" s="46">
      <c r="A71" s="2" t="n"/>
      <c r="B71" s="2" t="n"/>
      <c r="C71" s="2" t="n"/>
      <c r="D71" s="2" t="n"/>
    </row>
    <row r="72" ht="15.75" customHeight="1" s="46">
      <c r="A72" s="2" t="n"/>
      <c r="B72" s="2" t="n"/>
      <c r="C72" s="2" t="n"/>
      <c r="D72" s="2" t="n"/>
    </row>
    <row r="73" ht="15.75" customHeight="1" s="46">
      <c r="A73" s="2" t="n"/>
      <c r="B73" s="2" t="n"/>
      <c r="C73" s="2" t="n"/>
      <c r="D73" s="2" t="n"/>
    </row>
    <row r="74" ht="15.75" customHeight="1" s="46">
      <c r="A74" s="2" t="n"/>
      <c r="B74" s="2" t="n"/>
      <c r="C74" s="2" t="n"/>
      <c r="D74" s="2" t="n"/>
    </row>
    <row r="75" ht="15.75" customHeight="1" s="46">
      <c r="A75" s="2" t="n"/>
      <c r="B75" s="2" t="n"/>
      <c r="C75" s="2" t="n"/>
      <c r="D75" s="2" t="n"/>
    </row>
    <row r="76" ht="15.75" customHeight="1" s="46">
      <c r="A76" s="2" t="n"/>
      <c r="B76" s="2" t="n"/>
      <c r="C76" s="2" t="n"/>
      <c r="D76" s="2" t="n"/>
    </row>
    <row r="77" ht="15.75" customHeight="1" s="46">
      <c r="A77" s="2" t="n"/>
      <c r="B77" s="2" t="n"/>
      <c r="C77" s="2" t="n"/>
      <c r="D77" s="2" t="n"/>
    </row>
    <row r="78" ht="15.75" customHeight="1" s="46">
      <c r="A78" s="2" t="n"/>
      <c r="B78" s="2" t="n"/>
      <c r="C78" s="2" t="n"/>
      <c r="D78" s="2" t="n"/>
    </row>
    <row r="79" ht="15.75" customHeight="1" s="46">
      <c r="A79" s="2" t="n"/>
      <c r="B79" s="2" t="n"/>
      <c r="C79" s="2" t="n"/>
      <c r="D79" s="2" t="n"/>
    </row>
    <row r="80" ht="15.75" customHeight="1" s="46">
      <c r="A80" s="2" t="n"/>
      <c r="B80" s="2" t="n"/>
      <c r="C80" s="2" t="n"/>
      <c r="D80" s="2" t="n"/>
    </row>
    <row r="81" ht="15.75" customHeight="1" s="46">
      <c r="A81" s="2" t="n"/>
      <c r="B81" s="2" t="n"/>
      <c r="C81" s="2" t="n"/>
      <c r="D81" s="2" t="n"/>
    </row>
    <row r="82" ht="15.75" customHeight="1" s="46">
      <c r="A82" s="2" t="n"/>
      <c r="B82" s="2" t="n"/>
      <c r="C82" s="2" t="n"/>
      <c r="D82" s="2" t="n"/>
    </row>
    <row r="83" ht="15.75" customHeight="1" s="46">
      <c r="A83" s="2" t="n"/>
      <c r="B83" s="2" t="n"/>
      <c r="C83" s="2" t="n"/>
      <c r="D83" s="2" t="n"/>
    </row>
    <row r="84" ht="15.75" customHeight="1" s="46">
      <c r="A84" s="2" t="n"/>
      <c r="B84" s="2" t="n"/>
      <c r="C84" s="2" t="n"/>
      <c r="D84" s="2" t="n"/>
    </row>
    <row r="85" ht="15.75" customHeight="1" s="46">
      <c r="A85" s="2" t="n"/>
      <c r="B85" s="2" t="n"/>
      <c r="C85" s="2" t="n"/>
      <c r="D85" s="2" t="n"/>
    </row>
    <row r="86" ht="15.75" customHeight="1" s="46">
      <c r="A86" s="2" t="n"/>
      <c r="B86" s="2" t="n"/>
      <c r="C86" s="2" t="n"/>
      <c r="D86" s="2" t="n"/>
    </row>
    <row r="87" ht="15.75" customHeight="1" s="46">
      <c r="A87" s="2" t="n"/>
      <c r="B87" s="2" t="n"/>
      <c r="C87" s="2" t="n"/>
      <c r="D87" s="2" t="n"/>
    </row>
    <row r="88" ht="15.75" customHeight="1" s="46">
      <c r="A88" s="2" t="n"/>
      <c r="B88" s="2" t="n"/>
      <c r="C88" s="2" t="n"/>
      <c r="D88" s="2" t="n"/>
    </row>
    <row r="89" ht="15.75" customHeight="1" s="46">
      <c r="A89" s="2" t="n"/>
      <c r="B89" s="2" t="n"/>
      <c r="C89" s="2" t="n"/>
      <c r="D89" s="2" t="n"/>
    </row>
    <row r="90" ht="15.75" customHeight="1" s="46">
      <c r="A90" s="2" t="n"/>
      <c r="B90" s="2" t="n"/>
      <c r="C90" s="2" t="n"/>
      <c r="D90" s="2" t="n"/>
    </row>
    <row r="91" ht="15.75" customHeight="1" s="46">
      <c r="A91" s="2" t="n"/>
      <c r="B91" s="2" t="n"/>
      <c r="C91" s="2" t="n"/>
      <c r="D91" s="2" t="n"/>
    </row>
    <row r="92" ht="15.75" customHeight="1" s="46">
      <c r="A92" s="2" t="n"/>
      <c r="B92" s="2" t="n"/>
      <c r="C92" s="2" t="n"/>
      <c r="D92" s="2" t="n"/>
    </row>
    <row r="93" ht="15.75" customHeight="1" s="46">
      <c r="A93" s="2" t="n"/>
      <c r="B93" s="2" t="n"/>
      <c r="C93" s="2" t="n"/>
      <c r="D93" s="2" t="n"/>
    </row>
    <row r="94" ht="15.75" customHeight="1" s="46">
      <c r="A94" s="2" t="n"/>
      <c r="B94" s="2" t="n"/>
      <c r="C94" s="2" t="n"/>
      <c r="D94" s="2" t="n"/>
    </row>
    <row r="95" ht="15.75" customHeight="1" s="46">
      <c r="A95" s="2" t="n"/>
      <c r="B95" s="2" t="n"/>
      <c r="C95" s="2" t="n"/>
      <c r="D95" s="2" t="n"/>
    </row>
    <row r="96" ht="15.75" customHeight="1" s="46">
      <c r="A96" s="2" t="n"/>
      <c r="B96" s="2" t="n"/>
      <c r="C96" s="2" t="n"/>
      <c r="D96" s="2" t="n"/>
    </row>
    <row r="97" ht="15.75" customHeight="1" s="46">
      <c r="A97" s="2" t="n"/>
      <c r="B97" s="2" t="n"/>
      <c r="C97" s="2" t="n"/>
      <c r="D97" s="2" t="n"/>
    </row>
    <row r="98" ht="15.75" customHeight="1" s="46">
      <c r="A98" s="2" t="n"/>
      <c r="B98" s="2" t="n"/>
      <c r="C98" s="2" t="n"/>
      <c r="D98" s="2" t="n"/>
    </row>
    <row r="99" ht="15.75" customHeight="1" s="46">
      <c r="A99" s="2" t="n"/>
      <c r="B99" s="2" t="n"/>
      <c r="C99" s="2" t="n"/>
      <c r="D99" s="2" t="n"/>
    </row>
    <row r="100" ht="15.75" customHeight="1" s="46">
      <c r="A100" s="2" t="n"/>
      <c r="B100" s="2" t="n"/>
      <c r="C100" s="2" t="n"/>
      <c r="D100" s="2" t="n"/>
    </row>
    <row r="101" ht="15.75" customHeight="1" s="46">
      <c r="A101" s="2" t="n"/>
      <c r="B101" s="2" t="n"/>
      <c r="C101" s="2" t="n"/>
      <c r="D101" s="2" t="n"/>
    </row>
    <row r="102" ht="15.75" customHeight="1" s="46">
      <c r="A102" s="2" t="n"/>
      <c r="B102" s="2" t="n"/>
      <c r="C102" s="2" t="n"/>
      <c r="D102" s="2" t="n"/>
    </row>
    <row r="103" ht="15.75" customHeight="1" s="46">
      <c r="A103" s="2" t="n"/>
      <c r="B103" s="2" t="n"/>
      <c r="C103" s="2" t="n"/>
      <c r="D103" s="2" t="n"/>
    </row>
    <row r="104" ht="15.75" customHeight="1" s="46">
      <c r="A104" s="2" t="n"/>
      <c r="B104" s="2" t="n"/>
      <c r="C104" s="2" t="n"/>
      <c r="D104" s="2" t="n"/>
    </row>
    <row r="105" ht="15.75" customHeight="1" s="46">
      <c r="A105" s="2" t="n"/>
      <c r="B105" s="2" t="n"/>
      <c r="C105" s="2" t="n"/>
      <c r="D105" s="2" t="n"/>
    </row>
    <row r="106" ht="15.75" customHeight="1" s="46">
      <c r="A106" s="2" t="n"/>
      <c r="B106" s="2" t="n"/>
      <c r="C106" s="2" t="n"/>
      <c r="D106" s="2" t="n"/>
    </row>
    <row r="107" ht="15.75" customHeight="1" s="46">
      <c r="A107" s="2" t="n"/>
      <c r="B107" s="2" t="n"/>
      <c r="C107" s="2" t="n"/>
      <c r="D107" s="2" t="n"/>
    </row>
    <row r="108" ht="15.75" customHeight="1" s="46">
      <c r="A108" s="2" t="n"/>
      <c r="B108" s="2" t="n"/>
      <c r="C108" s="2" t="n"/>
      <c r="D108" s="2" t="n"/>
    </row>
    <row r="109" ht="15.75" customHeight="1" s="46">
      <c r="A109" s="2" t="n"/>
      <c r="B109" s="2" t="n"/>
      <c r="C109" s="2" t="n"/>
      <c r="D109" s="2" t="n"/>
    </row>
    <row r="110" ht="15.75" customHeight="1" s="46">
      <c r="A110" s="2" t="n"/>
      <c r="B110" s="2" t="n"/>
      <c r="C110" s="2" t="n"/>
      <c r="D110" s="2" t="n"/>
    </row>
    <row r="111" ht="15.75" customHeight="1" s="46">
      <c r="A111" s="2" t="n"/>
      <c r="B111" s="2" t="n"/>
      <c r="C111" s="2" t="n"/>
      <c r="D111" s="2" t="n"/>
    </row>
    <row r="112" ht="15.75" customHeight="1" s="46">
      <c r="A112" s="2" t="n"/>
      <c r="B112" s="2" t="n"/>
      <c r="C112" s="2" t="n"/>
      <c r="D112" s="2" t="n"/>
    </row>
    <row r="113" ht="15.75" customHeight="1" s="46">
      <c r="A113" s="2" t="n"/>
      <c r="B113" s="2" t="n"/>
      <c r="C113" s="2" t="n"/>
      <c r="D113" s="2" t="n"/>
    </row>
    <row r="114" ht="15.75" customHeight="1" s="46">
      <c r="A114" s="2" t="n"/>
      <c r="B114" s="2" t="n"/>
      <c r="C114" s="2" t="n"/>
      <c r="D114" s="2" t="n"/>
    </row>
    <row r="115" ht="15.75" customHeight="1" s="46">
      <c r="A115" s="2" t="n"/>
      <c r="B115" s="2" t="n"/>
      <c r="C115" s="2" t="n"/>
      <c r="D115" s="2" t="n"/>
    </row>
    <row r="116" ht="15.75" customHeight="1" s="46">
      <c r="A116" s="2" t="n"/>
      <c r="B116" s="2" t="n"/>
      <c r="C116" s="2" t="n"/>
      <c r="D116" s="2" t="n"/>
    </row>
    <row r="117" ht="15.75" customHeight="1" s="46">
      <c r="A117" s="2" t="n"/>
      <c r="B117" s="2" t="n"/>
      <c r="C117" s="2" t="n"/>
      <c r="D117" s="2" t="n"/>
    </row>
    <row r="118" ht="15.75" customHeight="1" s="46">
      <c r="A118" s="2" t="n"/>
      <c r="B118" s="2" t="n"/>
      <c r="C118" s="2" t="n"/>
      <c r="D118" s="2" t="n"/>
    </row>
    <row r="119" ht="15.75" customHeight="1" s="46">
      <c r="A119" s="2" t="n"/>
      <c r="B119" s="2" t="n"/>
      <c r="C119" s="2" t="n"/>
      <c r="D119" s="2" t="n"/>
    </row>
    <row r="120" ht="15.75" customHeight="1" s="46">
      <c r="A120" s="2" t="n"/>
      <c r="B120" s="2" t="n"/>
      <c r="C120" s="2" t="n"/>
      <c r="D120" s="2" t="n"/>
    </row>
    <row r="121" ht="15.75" customHeight="1" s="46">
      <c r="A121" s="2" t="n"/>
      <c r="B121" s="2" t="n"/>
      <c r="C121" s="2" t="n"/>
      <c r="D121" s="2" t="n"/>
    </row>
    <row r="122" ht="15.75" customHeight="1" s="46">
      <c r="A122" s="2" t="n"/>
      <c r="B122" s="2" t="n"/>
      <c r="C122" s="2" t="n"/>
      <c r="D122" s="2" t="n"/>
    </row>
    <row r="123" ht="15.75" customHeight="1" s="46">
      <c r="A123" s="2" t="n"/>
      <c r="B123" s="2" t="n"/>
      <c r="C123" s="2" t="n"/>
      <c r="D123" s="2" t="n"/>
    </row>
    <row r="124" ht="15.75" customHeight="1" s="46">
      <c r="A124" s="2" t="n"/>
      <c r="B124" s="2" t="n"/>
      <c r="C124" s="2" t="n"/>
      <c r="D124" s="2" t="n"/>
    </row>
    <row r="125" ht="15.75" customHeight="1" s="46">
      <c r="A125" s="2" t="n"/>
      <c r="B125" s="2" t="n"/>
      <c r="C125" s="2" t="n"/>
      <c r="D125" s="2" t="n"/>
    </row>
    <row r="126" ht="15.75" customHeight="1" s="46">
      <c r="A126" s="2" t="n"/>
      <c r="B126" s="2" t="n"/>
      <c r="C126" s="2" t="n"/>
      <c r="D126" s="2" t="n"/>
    </row>
    <row r="127" ht="15.75" customHeight="1" s="46">
      <c r="A127" s="2" t="n"/>
      <c r="B127" s="2" t="n"/>
      <c r="C127" s="2" t="n"/>
      <c r="D127" s="2" t="n"/>
    </row>
    <row r="128" ht="15.75" customHeight="1" s="46">
      <c r="A128" s="2" t="n"/>
      <c r="B128" s="2" t="n"/>
      <c r="C128" s="2" t="n"/>
      <c r="D128" s="2" t="n"/>
    </row>
    <row r="129" ht="15.75" customHeight="1" s="46">
      <c r="A129" s="2" t="n"/>
      <c r="B129" s="2" t="n"/>
      <c r="C129" s="2" t="n"/>
      <c r="D129" s="2" t="n"/>
    </row>
    <row r="130" ht="15.75" customHeight="1" s="46">
      <c r="A130" s="2" t="n"/>
      <c r="B130" s="2" t="n"/>
      <c r="C130" s="2" t="n"/>
      <c r="D130" s="2" t="n"/>
    </row>
    <row r="131" ht="15.75" customHeight="1" s="46">
      <c r="A131" s="2" t="n"/>
      <c r="B131" s="2" t="n"/>
      <c r="C131" s="2" t="n"/>
      <c r="D131" s="2" t="n"/>
    </row>
    <row r="132" ht="15.75" customHeight="1" s="46">
      <c r="A132" s="2" t="n"/>
      <c r="B132" s="2" t="n"/>
      <c r="C132" s="2" t="n"/>
      <c r="D132" s="2" t="n"/>
    </row>
    <row r="133" ht="15.75" customHeight="1" s="46">
      <c r="A133" s="2" t="n"/>
      <c r="B133" s="2" t="n"/>
      <c r="C133" s="2" t="n"/>
      <c r="D133" s="2" t="n"/>
    </row>
    <row r="134" ht="15.75" customHeight="1" s="46">
      <c r="A134" s="2" t="n"/>
      <c r="B134" s="2" t="n"/>
      <c r="C134" s="2" t="n"/>
      <c r="D134" s="2" t="n"/>
    </row>
    <row r="135" ht="15.75" customHeight="1" s="46">
      <c r="A135" s="2" t="n"/>
      <c r="B135" s="2" t="n"/>
      <c r="C135" s="2" t="n"/>
      <c r="D135" s="2" t="n"/>
    </row>
    <row r="136" ht="15.75" customHeight="1" s="46">
      <c r="A136" s="2" t="n"/>
      <c r="B136" s="2" t="n"/>
      <c r="C136" s="2" t="n"/>
      <c r="D136" s="2" t="n"/>
    </row>
    <row r="137" ht="15.75" customHeight="1" s="46">
      <c r="A137" s="2" t="n"/>
      <c r="B137" s="2" t="n"/>
      <c r="C137" s="2" t="n"/>
      <c r="D137" s="2" t="n"/>
    </row>
    <row r="138" ht="15.75" customHeight="1" s="46">
      <c r="A138" s="2" t="n"/>
      <c r="B138" s="2" t="n"/>
      <c r="C138" s="2" t="n"/>
      <c r="D138" s="2" t="n"/>
    </row>
    <row r="139" ht="15.75" customHeight="1" s="46">
      <c r="A139" s="2" t="n"/>
      <c r="B139" s="2" t="n"/>
      <c r="C139" s="2" t="n"/>
      <c r="D139" s="2" t="n"/>
    </row>
    <row r="140" ht="15.75" customHeight="1" s="46">
      <c r="A140" s="2" t="n"/>
      <c r="B140" s="2" t="n"/>
      <c r="C140" s="2" t="n"/>
      <c r="D140" s="2" t="n"/>
    </row>
    <row r="141" ht="15.75" customHeight="1" s="46">
      <c r="A141" s="2" t="n"/>
      <c r="B141" s="2" t="n"/>
      <c r="C141" s="2" t="n"/>
      <c r="D141" s="2" t="n"/>
    </row>
    <row r="142" ht="15.75" customHeight="1" s="46">
      <c r="A142" s="2" t="n"/>
      <c r="B142" s="2" t="n"/>
      <c r="C142" s="2" t="n"/>
      <c r="D142" s="2" t="n"/>
    </row>
    <row r="143" ht="15.75" customHeight="1" s="46">
      <c r="A143" s="2" t="n"/>
      <c r="B143" s="2" t="n"/>
      <c r="C143" s="2" t="n"/>
      <c r="D143" s="2" t="n"/>
    </row>
    <row r="144" ht="15.75" customHeight="1" s="46">
      <c r="A144" s="2" t="n"/>
      <c r="B144" s="2" t="n"/>
      <c r="C144" s="2" t="n"/>
      <c r="D144" s="2" t="n"/>
    </row>
    <row r="145" ht="15.75" customHeight="1" s="46">
      <c r="A145" s="2" t="n"/>
      <c r="B145" s="2" t="n"/>
      <c r="C145" s="2" t="n"/>
      <c r="D145" s="2" t="n"/>
    </row>
    <row r="146" ht="15.75" customHeight="1" s="46">
      <c r="A146" s="2" t="n"/>
      <c r="B146" s="2" t="n"/>
      <c r="C146" s="2" t="n"/>
      <c r="D146" s="2" t="n"/>
    </row>
    <row r="147" ht="15.75" customHeight="1" s="46">
      <c r="A147" s="2" t="n"/>
      <c r="B147" s="2" t="n"/>
      <c r="C147" s="2" t="n"/>
      <c r="D147" s="2" t="n"/>
    </row>
    <row r="148" ht="15.75" customHeight="1" s="46">
      <c r="A148" s="2" t="n"/>
      <c r="B148" s="2" t="n"/>
      <c r="C148" s="2" t="n"/>
      <c r="D148" s="2" t="n"/>
    </row>
    <row r="149" ht="15.75" customHeight="1" s="46">
      <c r="A149" s="2" t="n"/>
      <c r="B149" s="2" t="n"/>
      <c r="C149" s="2" t="n"/>
      <c r="D149" s="2" t="n"/>
    </row>
    <row r="150" ht="15.75" customHeight="1" s="46">
      <c r="A150" s="2" t="n"/>
      <c r="B150" s="2" t="n"/>
      <c r="C150" s="2" t="n"/>
      <c r="D150" s="2" t="n"/>
    </row>
    <row r="151" ht="15.75" customHeight="1" s="46">
      <c r="A151" s="2" t="n"/>
      <c r="B151" s="2" t="n"/>
      <c r="C151" s="2" t="n"/>
      <c r="D151" s="2" t="n"/>
    </row>
    <row r="152" ht="15.75" customHeight="1" s="46">
      <c r="A152" s="2" t="n"/>
      <c r="B152" s="2" t="n"/>
      <c r="C152" s="2" t="n"/>
      <c r="D152" s="2" t="n"/>
    </row>
    <row r="153" ht="15.75" customHeight="1" s="46">
      <c r="A153" s="2" t="n"/>
      <c r="B153" s="2" t="n"/>
      <c r="C153" s="2" t="n"/>
      <c r="D153" s="2" t="n"/>
    </row>
    <row r="154" ht="15.75" customHeight="1" s="46">
      <c r="A154" s="2" t="n"/>
      <c r="B154" s="2" t="n"/>
      <c r="C154" s="2" t="n"/>
      <c r="D154" s="2" t="n"/>
    </row>
    <row r="155" ht="15.75" customHeight="1" s="46">
      <c r="A155" s="2" t="n"/>
      <c r="B155" s="2" t="n"/>
      <c r="C155" s="2" t="n"/>
      <c r="D155" s="2" t="n"/>
    </row>
    <row r="156" ht="15.75" customHeight="1" s="46">
      <c r="A156" s="2" t="n"/>
      <c r="B156" s="2" t="n"/>
      <c r="C156" s="2" t="n"/>
      <c r="D156" s="2" t="n"/>
    </row>
    <row r="157" ht="15.75" customHeight="1" s="46">
      <c r="A157" s="2" t="n"/>
      <c r="B157" s="2" t="n"/>
      <c r="C157" s="2" t="n"/>
      <c r="D157" s="2" t="n"/>
    </row>
    <row r="158" ht="15.75" customHeight="1" s="46">
      <c r="A158" s="2" t="n"/>
      <c r="B158" s="2" t="n"/>
      <c r="C158" s="2" t="n"/>
      <c r="D158" s="2" t="n"/>
    </row>
    <row r="159" ht="15.75" customHeight="1" s="46">
      <c r="A159" s="2" t="n"/>
      <c r="B159" s="2" t="n"/>
      <c r="C159" s="2" t="n"/>
      <c r="D159" s="2" t="n"/>
    </row>
    <row r="160" ht="15.75" customHeight="1" s="46">
      <c r="A160" s="2" t="n"/>
      <c r="B160" s="2" t="n"/>
      <c r="C160" s="2" t="n"/>
      <c r="D160" s="2" t="n"/>
    </row>
    <row r="161" ht="15.75" customHeight="1" s="46">
      <c r="A161" s="2" t="n"/>
      <c r="B161" s="2" t="n"/>
      <c r="C161" s="2" t="n"/>
      <c r="D161" s="2" t="n"/>
    </row>
    <row r="162" ht="15.75" customHeight="1" s="46">
      <c r="A162" s="2" t="n"/>
      <c r="B162" s="2" t="n"/>
      <c r="C162" s="2" t="n"/>
      <c r="D162" s="2" t="n"/>
    </row>
    <row r="163" ht="15.75" customHeight="1" s="46">
      <c r="A163" s="2" t="n"/>
      <c r="B163" s="2" t="n"/>
      <c r="C163" s="2" t="n"/>
      <c r="D163" s="2" t="n"/>
    </row>
    <row r="164" ht="15.75" customHeight="1" s="46">
      <c r="A164" s="2" t="n"/>
      <c r="B164" s="2" t="n"/>
      <c r="C164" s="2" t="n"/>
      <c r="D164" s="2" t="n"/>
    </row>
    <row r="165" ht="15.75" customHeight="1" s="46">
      <c r="A165" s="2" t="n"/>
      <c r="B165" s="2" t="n"/>
      <c r="C165" s="2" t="n"/>
      <c r="D165" s="2" t="n"/>
    </row>
    <row r="166" ht="15.75" customHeight="1" s="46">
      <c r="A166" s="2" t="n"/>
      <c r="B166" s="2" t="n"/>
      <c r="C166" s="2" t="n"/>
      <c r="D166" s="2" t="n"/>
    </row>
    <row r="167" ht="15.75" customHeight="1" s="46">
      <c r="A167" s="2" t="n"/>
      <c r="B167" s="2" t="n"/>
      <c r="C167" s="2" t="n"/>
      <c r="D167" s="2" t="n"/>
    </row>
    <row r="168" ht="15.75" customHeight="1" s="46">
      <c r="A168" s="2" t="n"/>
      <c r="B168" s="2" t="n"/>
      <c r="C168" s="2" t="n"/>
      <c r="D168" s="2" t="n"/>
    </row>
    <row r="169" ht="15.75" customHeight="1" s="46">
      <c r="A169" s="2" t="n"/>
      <c r="B169" s="2" t="n"/>
      <c r="C169" s="2" t="n"/>
      <c r="D169" s="2" t="n"/>
    </row>
    <row r="170" ht="15.75" customHeight="1" s="46">
      <c r="A170" s="2" t="n"/>
      <c r="B170" s="2" t="n"/>
      <c r="C170" s="2" t="n"/>
      <c r="D170" s="2" t="n"/>
    </row>
    <row r="171" ht="15.75" customHeight="1" s="46">
      <c r="A171" s="2" t="n"/>
      <c r="B171" s="2" t="n"/>
      <c r="C171" s="2" t="n"/>
      <c r="D171" s="2" t="n"/>
    </row>
    <row r="172" ht="15.75" customHeight="1" s="46">
      <c r="A172" s="2" t="n"/>
      <c r="B172" s="2" t="n"/>
      <c r="C172" s="2" t="n"/>
      <c r="D172" s="2" t="n"/>
    </row>
    <row r="173" ht="15.75" customHeight="1" s="46">
      <c r="A173" s="2" t="n"/>
      <c r="B173" s="2" t="n"/>
      <c r="C173" s="2" t="n"/>
      <c r="D173" s="2" t="n"/>
    </row>
    <row r="174" ht="15.75" customHeight="1" s="46">
      <c r="A174" s="2" t="n"/>
      <c r="B174" s="2" t="n"/>
      <c r="C174" s="2" t="n"/>
      <c r="D174" s="2" t="n"/>
    </row>
    <row r="175" ht="15.75" customHeight="1" s="46">
      <c r="A175" s="2" t="n"/>
      <c r="B175" s="2" t="n"/>
      <c r="C175" s="2" t="n"/>
      <c r="D175" s="2" t="n"/>
    </row>
    <row r="176" ht="15.75" customHeight="1" s="46">
      <c r="A176" s="2" t="n"/>
      <c r="B176" s="2" t="n"/>
      <c r="C176" s="2" t="n"/>
      <c r="D176" s="2" t="n"/>
    </row>
    <row r="177" ht="15.75" customHeight="1" s="46">
      <c r="A177" s="2" t="n"/>
      <c r="B177" s="2" t="n"/>
      <c r="C177" s="2" t="n"/>
      <c r="D177" s="2" t="n"/>
    </row>
    <row r="178" ht="15.75" customHeight="1" s="46">
      <c r="A178" s="2" t="n"/>
      <c r="B178" s="2" t="n"/>
      <c r="C178" s="2" t="n"/>
      <c r="D178" s="2" t="n"/>
    </row>
    <row r="179" ht="15.75" customHeight="1" s="46">
      <c r="A179" s="2" t="n"/>
      <c r="B179" s="2" t="n"/>
      <c r="C179" s="2" t="n"/>
      <c r="D179" s="2" t="n"/>
    </row>
    <row r="180" ht="15.75" customHeight="1" s="46">
      <c r="A180" s="2" t="n"/>
      <c r="B180" s="2" t="n"/>
      <c r="C180" s="2" t="n"/>
      <c r="D180" s="2" t="n"/>
    </row>
    <row r="181" ht="15.75" customHeight="1" s="46">
      <c r="A181" s="2" t="n"/>
      <c r="B181" s="2" t="n"/>
      <c r="C181" s="2" t="n"/>
      <c r="D181" s="2" t="n"/>
    </row>
    <row r="182" ht="15.75" customHeight="1" s="46">
      <c r="A182" s="2" t="n"/>
      <c r="B182" s="2" t="n"/>
      <c r="C182" s="2" t="n"/>
      <c r="D182" s="2" t="n"/>
    </row>
    <row r="183" ht="15.75" customHeight="1" s="46">
      <c r="A183" s="2" t="n"/>
      <c r="B183" s="2" t="n"/>
      <c r="C183" s="2" t="n"/>
      <c r="D183" s="2" t="n"/>
    </row>
    <row r="184" ht="15.75" customHeight="1" s="46">
      <c r="A184" s="2" t="n"/>
      <c r="B184" s="2" t="n"/>
      <c r="C184" s="2" t="n"/>
      <c r="D184" s="2" t="n"/>
    </row>
    <row r="185" ht="15.75" customHeight="1" s="46">
      <c r="A185" s="2" t="n"/>
      <c r="B185" s="2" t="n"/>
      <c r="C185" s="2" t="n"/>
      <c r="D185" s="2" t="n"/>
    </row>
    <row r="186" ht="15.75" customHeight="1" s="46">
      <c r="A186" s="2" t="n"/>
      <c r="B186" s="2" t="n"/>
      <c r="C186" s="2" t="n"/>
      <c r="D186" s="2" t="n"/>
    </row>
    <row r="187" ht="15.75" customHeight="1" s="46">
      <c r="A187" s="2" t="n"/>
      <c r="B187" s="2" t="n"/>
      <c r="C187" s="2" t="n"/>
      <c r="D187" s="2" t="n"/>
    </row>
    <row r="188" ht="15.75" customHeight="1" s="46">
      <c r="A188" s="2" t="n"/>
      <c r="B188" s="2" t="n"/>
      <c r="C188" s="2" t="n"/>
      <c r="D188" s="2" t="n"/>
    </row>
    <row r="189" ht="15.75" customHeight="1" s="46">
      <c r="A189" s="2" t="n"/>
      <c r="B189" s="2" t="n"/>
      <c r="C189" s="2" t="n"/>
      <c r="D189" s="2" t="n"/>
    </row>
    <row r="190" ht="15.75" customHeight="1" s="46">
      <c r="A190" s="2" t="n"/>
      <c r="B190" s="2" t="n"/>
      <c r="C190" s="2" t="n"/>
      <c r="D190" s="2" t="n"/>
    </row>
    <row r="191" ht="15.75" customHeight="1" s="46">
      <c r="A191" s="2" t="n"/>
      <c r="B191" s="2" t="n"/>
      <c r="C191" s="2" t="n"/>
      <c r="D191" s="2" t="n"/>
    </row>
    <row r="192" ht="15.75" customHeight="1" s="46">
      <c r="A192" s="2" t="n"/>
      <c r="B192" s="2" t="n"/>
      <c r="C192" s="2" t="n"/>
      <c r="D192" s="2" t="n"/>
    </row>
    <row r="193" ht="15.75" customHeight="1" s="46">
      <c r="A193" s="2" t="n"/>
      <c r="B193" s="2" t="n"/>
      <c r="C193" s="2" t="n"/>
      <c r="D193" s="2" t="n"/>
    </row>
    <row r="194" ht="15.75" customHeight="1" s="46">
      <c r="A194" s="2" t="n"/>
      <c r="B194" s="2" t="n"/>
      <c r="C194" s="2" t="n"/>
      <c r="D194" s="2" t="n"/>
    </row>
    <row r="195" ht="15.75" customHeight="1" s="46">
      <c r="A195" s="2" t="n"/>
      <c r="B195" s="2" t="n"/>
      <c r="C195" s="2" t="n"/>
      <c r="D195" s="2" t="n"/>
    </row>
    <row r="196" ht="15.75" customHeight="1" s="46">
      <c r="A196" s="2" t="n"/>
      <c r="B196" s="2" t="n"/>
      <c r="C196" s="2" t="n"/>
      <c r="D196" s="2" t="n"/>
    </row>
    <row r="197" ht="15.75" customHeight="1" s="46">
      <c r="A197" s="2" t="n"/>
      <c r="B197" s="2" t="n"/>
      <c r="C197" s="2" t="n"/>
      <c r="D197" s="2" t="n"/>
    </row>
    <row r="198" ht="15.75" customHeight="1" s="46">
      <c r="A198" s="2" t="n"/>
      <c r="B198" s="2" t="n"/>
      <c r="C198" s="2" t="n"/>
      <c r="D198" s="2" t="n"/>
    </row>
    <row r="199" ht="15.75" customHeight="1" s="46">
      <c r="A199" s="2" t="n"/>
      <c r="B199" s="2" t="n"/>
      <c r="C199" s="2" t="n"/>
      <c r="D199" s="2" t="n"/>
    </row>
    <row r="200" ht="15.75" customHeight="1" s="46">
      <c r="A200" s="2" t="n"/>
      <c r="B200" s="2" t="n"/>
      <c r="C200" s="2" t="n"/>
      <c r="D200" s="2" t="n"/>
    </row>
    <row r="201" ht="15.75" customHeight="1" s="46">
      <c r="A201" s="2" t="n"/>
      <c r="B201" s="2" t="n"/>
      <c r="C201" s="2" t="n"/>
      <c r="D201" s="2" t="n"/>
    </row>
    <row r="202" ht="15.75" customHeight="1" s="46">
      <c r="A202" s="2" t="n"/>
      <c r="B202" s="2" t="n"/>
      <c r="C202" s="2" t="n"/>
      <c r="D202" s="2" t="n"/>
    </row>
    <row r="203" ht="15.75" customHeight="1" s="46">
      <c r="A203" s="2" t="n"/>
      <c r="B203" s="2" t="n"/>
      <c r="C203" s="2" t="n"/>
      <c r="D203" s="2" t="n"/>
    </row>
    <row r="204" ht="15.75" customHeight="1" s="46">
      <c r="A204" s="2" t="n"/>
      <c r="B204" s="2" t="n"/>
      <c r="C204" s="2" t="n"/>
      <c r="D204" s="2" t="n"/>
    </row>
    <row r="205" ht="15.75" customHeight="1" s="46">
      <c r="A205" s="2" t="n"/>
      <c r="B205" s="2" t="n"/>
      <c r="C205" s="2" t="n"/>
      <c r="D205" s="2" t="n"/>
    </row>
    <row r="206" ht="15.75" customHeight="1" s="46">
      <c r="A206" s="2" t="n"/>
      <c r="B206" s="2" t="n"/>
      <c r="C206" s="2" t="n"/>
      <c r="D206" s="2" t="n"/>
    </row>
    <row r="207" ht="15.75" customHeight="1" s="46">
      <c r="A207" s="2" t="n"/>
      <c r="B207" s="2" t="n"/>
      <c r="C207" s="2" t="n"/>
      <c r="D207" s="2" t="n"/>
    </row>
    <row r="208" ht="15.75" customHeight="1" s="46">
      <c r="A208" s="2" t="n"/>
      <c r="B208" s="2" t="n"/>
      <c r="C208" s="2" t="n"/>
      <c r="D208" s="2" t="n"/>
    </row>
    <row r="209" ht="15.75" customHeight="1" s="46">
      <c r="A209" s="2" t="n"/>
      <c r="B209" s="2" t="n"/>
      <c r="C209" s="2" t="n"/>
      <c r="D209" s="2" t="n"/>
    </row>
    <row r="210" ht="15.75" customHeight="1" s="46">
      <c r="A210" s="2" t="n"/>
      <c r="B210" s="2" t="n"/>
      <c r="C210" s="2" t="n"/>
      <c r="D210" s="2" t="n"/>
    </row>
    <row r="211" ht="15.75" customHeight="1" s="46">
      <c r="A211" s="2" t="n"/>
      <c r="B211" s="2" t="n"/>
      <c r="C211" s="2" t="n"/>
      <c r="D211" s="2" t="n"/>
    </row>
    <row r="212" ht="15.75" customHeight="1" s="46">
      <c r="A212" s="2" t="n"/>
      <c r="B212" s="2" t="n"/>
      <c r="C212" s="2" t="n"/>
      <c r="D212" s="2" t="n"/>
    </row>
    <row r="213" ht="15.75" customHeight="1" s="46">
      <c r="A213" s="2" t="n"/>
      <c r="B213" s="2" t="n"/>
      <c r="C213" s="2" t="n"/>
      <c r="D213" s="2" t="n"/>
    </row>
    <row r="214" ht="15.75" customHeight="1" s="46">
      <c r="A214" s="2" t="n"/>
      <c r="B214" s="2" t="n"/>
      <c r="C214" s="2" t="n"/>
      <c r="D214" s="2" t="n"/>
    </row>
    <row r="215" ht="15.75" customHeight="1" s="46">
      <c r="A215" s="2" t="n"/>
      <c r="B215" s="2" t="n"/>
      <c r="C215" s="2" t="n"/>
      <c r="D215" s="2" t="n"/>
    </row>
    <row r="216" ht="15.75" customHeight="1" s="46">
      <c r="A216" s="2" t="n"/>
      <c r="B216" s="2" t="n"/>
      <c r="C216" s="2" t="n"/>
      <c r="D216" s="2" t="n"/>
    </row>
    <row r="217" ht="15.75" customHeight="1" s="46">
      <c r="A217" s="2" t="n"/>
      <c r="B217" s="2" t="n"/>
      <c r="C217" s="2" t="n"/>
      <c r="D217" s="2" t="n"/>
    </row>
    <row r="218" ht="15.75" customHeight="1" s="46">
      <c r="A218" s="2" t="n"/>
      <c r="B218" s="2" t="n"/>
      <c r="C218" s="2" t="n"/>
      <c r="D218" s="2" t="n"/>
    </row>
    <row r="219" ht="15.75" customHeight="1" s="46">
      <c r="A219" s="2" t="n"/>
      <c r="B219" s="2" t="n"/>
      <c r="C219" s="2" t="n"/>
      <c r="D219" s="2" t="n"/>
    </row>
    <row r="220" ht="15.7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6.xml><?xml version="1.0" encoding="utf-8"?>
<worksheet xmlns="http://schemas.openxmlformats.org/spreadsheetml/2006/main">
  <sheetPr>
    <outlinePr summaryBelow="1" summaryRight="1"/>
    <pageSetUpPr/>
  </sheetPr>
  <dimension ref="A1:J46"/>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46" min="1" max="1"/>
    <col width="6" customWidth="1" style="46" min="2" max="2"/>
    <col width="20" customWidth="1" style="46" min="3" max="3"/>
    <col width="36" customWidth="1" style="46" min="4" max="4"/>
    <col width="11" customWidth="1" style="46" min="5" max="5"/>
    <col width="20" customWidth="1" style="46" min="6" max="6"/>
    <col width="44" customWidth="1" style="46" min="7" max="7"/>
    <col width="16" customWidth="1" style="46" min="8" max="8"/>
    <col width="24" customWidth="1" style="46" min="9" max="9"/>
    <col width="40" customWidth="1" style="46" min="10" max="10"/>
  </cols>
  <sheetData>
    <row r="1">
      <c r="A1" s="1" t="inlineStr">
        <is>
          <t>Step 6: the charters, reworked for the new economy</t>
        </is>
      </c>
    </row>
    <row r="2">
      <c r="A2" s="3" t="inlineStr">
        <is>
          <t>Each path: two ranks, then a choice of two. Today's charter beside my proposal; "Status" says what changes and why.</t>
        </is>
      </c>
    </row>
    <row r="4">
      <c r="A4" s="9" t="inlineStr">
        <is>
          <t>Path</t>
        </is>
      </c>
      <c r="B4" s="9" t="inlineStr">
        <is>
          <t>Rank</t>
        </is>
      </c>
      <c r="C4" s="9" t="inlineStr">
        <is>
          <t>Today</t>
        </is>
      </c>
      <c r="D4" s="9" t="inlineStr">
        <is>
          <t>Today it does</t>
        </is>
      </c>
      <c r="E4" s="9" t="inlineStr">
        <is>
          <t>Status</t>
        </is>
      </c>
      <c r="F4" s="9" t="inlineStr">
        <is>
          <t>Proposed</t>
        </is>
      </c>
      <c r="G4" s="9" t="inlineStr">
        <is>
          <t>Proposed effect</t>
        </is>
      </c>
      <c r="H4" s="9" t="inlineStr">
        <is>
          <t>Opens</t>
        </is>
      </c>
      <c r="I4" s="9" t="inlineStr">
        <is>
          <t>Your notes</t>
        </is>
      </c>
      <c r="J4" s="33" t="inlineStr">
        <is>
          <t>My notes</t>
        </is>
      </c>
    </row>
    <row r="5" ht="27.75" customHeight="1" s="46">
      <c r="A5" s="10" t="inlineStr">
        <is>
          <t>Metalwork</t>
        </is>
      </c>
      <c r="B5" s="10" t="n"/>
      <c r="C5" s="10" t="inlineStr">
        <is>
          <t>Path drawback</t>
        </is>
      </c>
      <c r="D5" s="10" t="inlineStr">
        <is>
          <t>Smoke from the forges: homes a little less happy.</t>
        </is>
      </c>
      <c r="E5" s="10" t="n"/>
      <c r="F5" s="10" t="n"/>
      <c r="G5" s="10" t="n"/>
      <c r="H5" s="10" t="n"/>
      <c r="I5" s="10" t="n"/>
    </row>
    <row r="6" ht="27.75" customHeight="1" s="46">
      <c r="A6" s="7" t="inlineStr">
        <is>
          <t>Metalwork</t>
        </is>
      </c>
      <c r="B6" s="7" t="inlineStr">
        <is>
          <t>1</t>
        </is>
      </c>
      <c r="C6" s="7" t="inlineStr">
        <is>
          <t>Master Smiths</t>
        </is>
      </c>
      <c r="D6" s="7" t="inlineStr">
        <is>
          <t>Bloomeries, blacksmiths and armouries a quarter faster.</t>
        </is>
      </c>
      <c r="E6" s="43" t="inlineStr">
        <is>
          <t>Rework</t>
        </is>
      </c>
      <c r="F6" s="7" t="inlineStr">
        <is>
          <t>Master Smiths</t>
        </is>
      </c>
      <c r="G6" s="7" t="inlineStr">
        <is>
          <t>Bloomeries and blacksmiths a quarter faster.</t>
        </is>
      </c>
      <c r="H6" s="7" t="n"/>
      <c r="I6" s="45" t="inlineStr">
        <is>
          <t>When is silver revealed? Maybe it should reveal 2-4 spots here</t>
        </is>
      </c>
    </row>
    <row r="7" ht="27.75" customHeight="1" s="46">
      <c r="A7" s="7" t="inlineStr">
        <is>
          <t>Metalwork</t>
        </is>
      </c>
      <c r="B7" s="7" t="inlineStr">
        <is>
          <t>2</t>
        </is>
      </c>
      <c r="C7" s="7" t="inlineStr">
        <is>
          <t>Deep Veins</t>
        </is>
      </c>
      <c r="D7" s="7" t="inlineStr">
        <is>
          <t>Bog iron never runs out; now and then silver comes up with it.</t>
        </is>
      </c>
      <c r="E7" s="30" t="inlineStr">
        <is>
          <t>Keep</t>
        </is>
      </c>
      <c r="F7" s="7" t="inlineStr">
        <is>
          <t>Deep Veins</t>
        </is>
      </c>
      <c r="G7" s="13" t="inlineStr">
        <is>
          <t>Reveals 2 to 4 silver veins on the map, worked by a Silver Mine.</t>
        </is>
      </c>
      <c r="H7" s="13" t="inlineStr">
        <is>
          <t>Silver Mine</t>
        </is>
      </c>
      <c r="I7" s="45" t="n"/>
      <c r="J7" s="7" t="inlineStr">
        <is>
          <t>Today silver only comes now and then with bog iron. Your note: reveal spots instead. They need a building to work them, so the charter opens one.</t>
        </is>
      </c>
    </row>
    <row r="8" ht="27.75" customHeight="1" s="46">
      <c r="A8" s="7" t="inlineStr">
        <is>
          <t>Metalwork</t>
        </is>
      </c>
      <c r="B8" s="7" t="inlineStr">
        <is>
          <t>3a</t>
        </is>
      </c>
      <c r="C8" s="7" t="inlineStr">
        <is>
          <t>Jewellers' Guild</t>
        </is>
      </c>
      <c r="D8" s="7" t="inlineStr">
        <is>
          <t>Opens the jeweller; jewellers twice as fast; prestige for each.</t>
        </is>
      </c>
      <c r="E8" s="30" t="inlineStr">
        <is>
          <t>Keep</t>
        </is>
      </c>
      <c r="F8" s="7" t="inlineStr">
        <is>
          <t>Jewellers' Guild</t>
        </is>
      </c>
      <c r="G8" s="7" t="inlineStr">
        <is>
          <t>As today.</t>
        </is>
      </c>
      <c r="H8" s="7" t="inlineStr">
        <is>
          <t>Jeweller's Shop</t>
        </is>
      </c>
      <c r="I8" s="45" t="n"/>
    </row>
    <row r="9" ht="42" customHeight="1" s="46">
      <c r="A9" s="7" t="inlineStr">
        <is>
          <t>Metalwork</t>
        </is>
      </c>
      <c r="B9" s="7" t="inlineStr">
        <is>
          <t>3b</t>
        </is>
      </c>
      <c r="C9" s="7" t="inlineStr">
        <is>
          <t>Armourers' Guild</t>
        </is>
      </c>
      <c r="D9" s="7" t="inlineStr">
        <is>
          <t>Armouries make half again; arms fetch half again.</t>
        </is>
      </c>
      <c r="E9" s="43" t="inlineStr">
        <is>
          <t>Replace</t>
        </is>
      </c>
      <c r="F9" s="7" t="inlineStr">
        <is>
          <t>Ironmongers' Guild</t>
        </is>
      </c>
      <c r="G9" s="13" t="inlineStr">
        <is>
          <t>Blacksmiths a third faster, every workplace wears a fifth fewer tools, and tools fetch half again.</t>
        </is>
      </c>
      <c r="H9" s="7" t="n"/>
      <c r="I9" s="45" t="inlineStr">
        <is>
          <t>fetching 1.5 sounds enough</t>
        </is>
      </c>
    </row>
    <row r="10" ht="27.75" customHeight="1" s="46">
      <c r="A10" s="10" t="inlineStr">
        <is>
          <t>Orchard Masters</t>
        </is>
      </c>
      <c r="B10" s="10" t="n"/>
      <c r="C10" s="10" t="inlineStr">
        <is>
          <t>Path drawback</t>
        </is>
      </c>
      <c r="D10" s="10" t="inlineStr">
        <is>
          <t>Orchard keepers need a third more hands.</t>
        </is>
      </c>
      <c r="E10" s="10" t="n"/>
      <c r="F10" s="10" t="n"/>
      <c r="G10" s="10" t="n"/>
      <c r="H10" s="10" t="n"/>
      <c r="I10" s="10" t="n"/>
    </row>
    <row r="11" ht="13.5" customHeight="1" s="46">
      <c r="A11" s="7" t="inlineStr">
        <is>
          <t>Orchard Masters</t>
        </is>
      </c>
      <c r="B11" s="7" t="inlineStr">
        <is>
          <t>1</t>
        </is>
      </c>
      <c r="C11" s="7" t="inlineStr">
        <is>
          <t>Grafting</t>
        </is>
      </c>
      <c r="D11" s="7" t="inlineStr">
        <is>
          <t>Orchards and hives 30% more.</t>
        </is>
      </c>
      <c r="E11" s="30" t="inlineStr">
        <is>
          <t>Keep</t>
        </is>
      </c>
      <c r="F11" s="7" t="inlineStr">
        <is>
          <t>Grafting</t>
        </is>
      </c>
      <c r="G11" s="7" t="inlineStr">
        <is>
          <t>As today.</t>
        </is>
      </c>
      <c r="H11" s="7" t="n"/>
      <c r="I11" s="45" t="n"/>
    </row>
    <row r="12" ht="13.5" customHeight="1" s="46">
      <c r="A12" s="7" t="inlineStr">
        <is>
          <t>Orchard Masters</t>
        </is>
      </c>
      <c r="B12" s="7" t="inlineStr">
        <is>
          <t>2</t>
        </is>
      </c>
      <c r="C12" s="7" t="inlineStr">
        <is>
          <t>Vines and Nurseries</t>
        </is>
      </c>
      <c r="D12" s="7" t="inlineStr">
        <is>
          <t>Vines for grapes; trees bear sooner.</t>
        </is>
      </c>
      <c r="E12" s="30" t="inlineStr">
        <is>
          <t>Keep</t>
        </is>
      </c>
      <c r="F12" s="7" t="inlineStr">
        <is>
          <t>Vines and Nurseries</t>
        </is>
      </c>
      <c r="G12" s="7" t="inlineStr">
        <is>
          <t>As today.</t>
        </is>
      </c>
      <c r="H12" s="7" t="inlineStr">
        <is>
          <t>Vines</t>
        </is>
      </c>
      <c r="I12" s="45" t="n"/>
    </row>
    <row r="13" ht="27.75" customHeight="1" s="46">
      <c r="A13" s="7" t="inlineStr">
        <is>
          <t>Orchard Masters</t>
        </is>
      </c>
      <c r="B13" s="7" t="inlineStr">
        <is>
          <t>3a</t>
        </is>
      </c>
      <c r="C13" s="7" t="inlineStr">
        <is>
          <t>Vintners</t>
        </is>
      </c>
      <c r="D13" s="7" t="inlineStr">
        <is>
          <t>Opens the winery; wine and cider half again and dearer.</t>
        </is>
      </c>
      <c r="E13" s="30" t="inlineStr">
        <is>
          <t>Keep</t>
        </is>
      </c>
      <c r="F13" s="7" t="inlineStr">
        <is>
          <t>Vintners</t>
        </is>
      </c>
      <c r="G13" s="7" t="inlineStr">
        <is>
          <t>As today.</t>
        </is>
      </c>
      <c r="H13" s="7" t="inlineStr">
        <is>
          <t>Winery</t>
        </is>
      </c>
      <c r="I13" s="45" t="n"/>
    </row>
    <row r="14" ht="55.5" customHeight="1" s="46">
      <c r="A14" s="7" t="inlineStr">
        <is>
          <t>Orchard Masters</t>
        </is>
      </c>
      <c r="B14" s="7" t="inlineStr">
        <is>
          <t>3b</t>
        </is>
      </c>
      <c r="C14" s="7" t="inlineStr">
        <is>
          <t>Meadmakers</t>
        </is>
      </c>
      <c r="D14" s="7" t="inlineStr">
        <is>
          <t>Hives twice the honey; mead from the brewhouse; honey cakes +4 happiness.</t>
        </is>
      </c>
      <c r="E14" s="43" t="inlineStr">
        <is>
          <t>Rework</t>
        </is>
      </c>
      <c r="F14" s="7" t="inlineStr">
        <is>
          <t>Meadmakers</t>
        </is>
      </c>
      <c r="G14" s="7" t="inlineStr">
        <is>
          <t>Beekeepers and hives twice the honey, mead half again; honey cakes +4 happiness. (Mead is open to all since step 3.)</t>
        </is>
      </c>
      <c r="H14" s="7" t="n"/>
      <c r="I14" s="45" t="n"/>
    </row>
    <row r="15" ht="27.75" customHeight="1" s="46">
      <c r="A15" s="10" t="inlineStr">
        <is>
          <t>Erudition</t>
        </is>
      </c>
      <c r="B15" s="10" t="n"/>
      <c r="C15" s="10" t="inlineStr">
        <is>
          <t>Path drawback</t>
        </is>
      </c>
      <c r="D15" s="10" t="inlineStr">
        <is>
          <t>Scholars shun the fields: farms yield a little less.</t>
        </is>
      </c>
      <c r="E15" s="10" t="n"/>
      <c r="F15" s="10" t="n"/>
      <c r="G15" s="10" t="n"/>
      <c r="H15" s="10" t="n"/>
      <c r="I15" s="10" t="n"/>
    </row>
    <row r="16" ht="27.75" customHeight="1" s="46">
      <c r="A16" s="7" t="inlineStr">
        <is>
          <t>Erudition</t>
        </is>
      </c>
      <c r="B16" s="7" t="inlineStr">
        <is>
          <t>1</t>
        </is>
      </c>
      <c r="C16" s="7" t="inlineStr">
        <is>
          <t>Scribes</t>
        </is>
      </c>
      <c r="D16" s="7" t="inlineStr">
        <is>
          <t>Opens the scriptorium; half again books; +1 prestige.</t>
        </is>
      </c>
      <c r="E16" s="30" t="inlineStr">
        <is>
          <t>Keep</t>
        </is>
      </c>
      <c r="F16" s="7" t="inlineStr">
        <is>
          <t>Scribes</t>
        </is>
      </c>
      <c r="G16" s="7" t="inlineStr">
        <is>
          <t>As today; books from paper or parchment.</t>
        </is>
      </c>
      <c r="H16" s="7" t="inlineStr">
        <is>
          <t>Scriptorium</t>
        </is>
      </c>
      <c r="I16" s="45" t="n"/>
    </row>
    <row r="17" ht="13.5" customHeight="1" s="46">
      <c r="A17" s="7" t="inlineStr">
        <is>
          <t>Erudition</t>
        </is>
      </c>
      <c r="B17" s="7" t="inlineStr">
        <is>
          <t>2</t>
        </is>
      </c>
      <c r="C17" s="7" t="inlineStr">
        <is>
          <t>Guild Schools</t>
        </is>
      </c>
      <c r="D17" s="7" t="inlineStr">
        <is>
          <t>Workshops 10% faster.</t>
        </is>
      </c>
      <c r="E17" s="30" t="inlineStr">
        <is>
          <t>Keep</t>
        </is>
      </c>
      <c r="F17" s="7" t="inlineStr">
        <is>
          <t>Guild Schools</t>
        </is>
      </c>
      <c r="G17" s="7" t="inlineStr">
        <is>
          <t>As today.</t>
        </is>
      </c>
      <c r="H17" s="7" t="n"/>
      <c r="I17" s="45" t="n"/>
    </row>
    <row r="18" ht="42" customHeight="1" s="46">
      <c r="A18" s="7" t="inlineStr">
        <is>
          <t>Erudition</t>
        </is>
      </c>
      <c r="B18" s="7" t="inlineStr">
        <is>
          <t>3a</t>
        </is>
      </c>
      <c r="C18" s="7" t="inlineStr">
        <is>
          <t>University Charter</t>
        </is>
      </c>
      <c r="D18" s="7" t="inlineStr">
        <is>
          <t>University reads one book; 10% learning instead of 5%; +2 prestige.</t>
        </is>
      </c>
      <c r="E18" s="43" t="inlineStr">
        <is>
          <t>Rework</t>
        </is>
      </c>
      <c r="F18" s="7" t="inlineStr">
        <is>
          <t>University Charter</t>
        </is>
      </c>
      <c r="G18" s="7" t="inlineStr">
        <is>
          <t>University reads one book a month and teaches half again (knowledge); learning 10% instead of 5%.</t>
        </is>
      </c>
      <c r="H18" s="7" t="n"/>
      <c r="I18" s="45" t="n"/>
    </row>
    <row r="19" ht="27.75" customHeight="1" s="46">
      <c r="A19" s="7" t="inlineStr">
        <is>
          <t>Erudition</t>
        </is>
      </c>
      <c r="B19" s="7" t="inlineStr">
        <is>
          <t>3b</t>
        </is>
      </c>
      <c r="C19" s="7" t="inlineStr">
        <is>
          <t>Cathedral School</t>
        </is>
      </c>
      <c r="D19" s="7" t="inlineStr">
        <is>
          <t>+6 happiness, +2 prestige, books dearer.</t>
        </is>
      </c>
      <c r="E19" s="43" t="inlineStr">
        <is>
          <t>Rework</t>
        </is>
      </c>
      <c r="F19" s="7" t="inlineStr">
        <is>
          <t>Cathedral School</t>
        </is>
      </c>
      <c r="G19" s="7" t="inlineStr">
        <is>
          <t>+6 happiness, +2 prestige; the cathedral and churches teach twice as much.</t>
        </is>
      </c>
      <c r="H19" s="7" t="n"/>
      <c r="I19" s="45" t="n"/>
    </row>
    <row r="20" ht="13.5" customHeight="1" s="46">
      <c r="A20" s="10" t="inlineStr">
        <is>
          <t>Harmony with Nature</t>
        </is>
      </c>
      <c r="B20" s="10" t="n"/>
      <c r="C20" s="10" t="inlineStr">
        <is>
          <t>Path drawback</t>
        </is>
      </c>
      <c r="D20" s="10" t="inlineStr">
        <is>
          <t>Quarries and mines a fifth slower.</t>
        </is>
      </c>
      <c r="E20" s="10" t="n"/>
      <c r="F20" s="10" t="n"/>
      <c r="G20" s="10" t="n"/>
      <c r="H20" s="10" t="n"/>
      <c r="I20" s="10" t="n"/>
    </row>
    <row r="21" ht="13.5" customHeight="1" s="46">
      <c r="A21" s="7" t="inlineStr">
        <is>
          <t>Harmony with Nature</t>
        </is>
      </c>
      <c r="B21" s="7" t="inlineStr">
        <is>
          <t>1</t>
        </is>
      </c>
      <c r="C21" s="7" t="inlineStr">
        <is>
          <t>Woodland Lore</t>
        </is>
      </c>
      <c r="D21" s="7" t="inlineStr">
        <is>
          <t>Foragers and hunters 50% more.</t>
        </is>
      </c>
      <c r="E21" s="30" t="inlineStr">
        <is>
          <t>Keep</t>
        </is>
      </c>
      <c r="F21" s="7" t="inlineStr">
        <is>
          <t>Woodland Lore</t>
        </is>
      </c>
      <c r="G21" s="13" t="inlineStr">
        <is>
          <t>Foragers and hunters half again.</t>
        </is>
      </c>
      <c r="H21" s="7" t="n"/>
      <c r="I21" s="45" t="n"/>
    </row>
    <row r="22" ht="27.75" customHeight="1" s="46">
      <c r="A22" s="7" t="inlineStr">
        <is>
          <t>Harmony with Nature</t>
        </is>
      </c>
      <c r="B22" s="7" t="inlineStr">
        <is>
          <t>2</t>
        </is>
      </c>
      <c r="C22" s="7" t="inlineStr">
        <is>
          <t>Greenwood</t>
        </is>
      </c>
      <c r="D22" s="7" t="inlineStr">
        <is>
          <t>Forests regrow twice as fast; woodcutters a fifth more; +3 happiness.</t>
        </is>
      </c>
      <c r="E22" s="30" t="inlineStr">
        <is>
          <t>Keep</t>
        </is>
      </c>
      <c r="F22" s="7" t="inlineStr">
        <is>
          <t>Greenwood</t>
        </is>
      </c>
      <c r="G22" s="7" t="inlineStr">
        <is>
          <t>As today.</t>
        </is>
      </c>
      <c r="H22" s="7" t="n"/>
      <c r="I22" s="45" t="n"/>
    </row>
    <row r="23" ht="13.5" customHeight="1" s="46">
      <c r="A23" s="7" t="inlineStr">
        <is>
          <t>Harmony with Nature</t>
        </is>
      </c>
      <c r="B23" s="7" t="inlineStr">
        <is>
          <t>3a</t>
        </is>
      </c>
      <c r="C23" s="7" t="inlineStr">
        <is>
          <t>Druids' Grove</t>
        </is>
      </c>
      <c r="D23" s="7" t="inlineStr">
        <is>
          <t>+6 happiness; herbs; +1 prestige.</t>
        </is>
      </c>
      <c r="E23" s="30" t="inlineStr">
        <is>
          <t>Keep</t>
        </is>
      </c>
      <c r="F23" s="7" t="inlineStr">
        <is>
          <t>Druids' Grove</t>
        </is>
      </c>
      <c r="G23" s="13" t="inlineStr">
        <is>
          <t>+6 happiness, herbs, +1 prestige; and homes may go up a level, or keep theirs, with one need unmet.</t>
        </is>
      </c>
      <c r="H23" s="7" t="n"/>
      <c r="I23" s="45" t="inlineStr">
        <is>
          <t>Contact with nature keeps citziens happy, hosing requirements for upkeep and upgrade allows one condition not met</t>
        </is>
      </c>
      <c r="J23" s="7" t="inlineStr">
        <is>
          <t>Your note: contact with nature keeps the people content.</t>
        </is>
      </c>
    </row>
    <row r="24" ht="27.75" customHeight="1" s="46">
      <c r="A24" s="7" t="inlineStr">
        <is>
          <t>Harmony with Nature</t>
        </is>
      </c>
      <c r="B24" s="7" t="inlineStr">
        <is>
          <t>3b</t>
        </is>
      </c>
      <c r="C24" s="7" t="inlineStr">
        <is>
          <t>Royal Hunt</t>
        </is>
      </c>
      <c r="D24" s="7" t="inlineStr">
        <is>
          <t>Hunters half again; a prestige for each hunting camp.</t>
        </is>
      </c>
      <c r="E24" s="43" t="inlineStr">
        <is>
          <t>Rework</t>
        </is>
      </c>
      <c r="F24" s="7" t="inlineStr">
        <is>
          <t>Royal Hunt</t>
        </is>
      </c>
      <c r="G24" s="13" t="inlineStr">
        <is>
          <t>Hunters half again; two more herds of deer roam the map; the deer park yields twice and brings 2 more prestige.</t>
        </is>
      </c>
      <c r="H24" s="7" t="n"/>
      <c r="I24" s="45" t="inlineStr">
        <is>
          <t>Appear 2 extra heard of dear in the map</t>
        </is>
      </c>
      <c r="J24" s="7" t="inlineStr">
        <is>
          <t>Deer herds as wildlife that hunters can follow (art: like the bear and turtles).</t>
        </is>
      </c>
    </row>
    <row r="25" ht="13.5" customHeight="1" s="46">
      <c r="A25" s="10" t="inlineStr">
        <is>
          <t>Traders</t>
        </is>
      </c>
      <c r="B25" s="10" t="n"/>
      <c r="C25" s="10" t="inlineStr">
        <is>
          <t>Path drawback</t>
        </is>
      </c>
      <c r="D25" s="10" t="inlineStr">
        <is>
          <t>Taxes are less popular.</t>
        </is>
      </c>
      <c r="E25" s="10" t="n"/>
      <c r="F25" s="10" t="n"/>
      <c r="G25" s="10" t="n"/>
      <c r="H25" s="10" t="n"/>
      <c r="I25" s="10" t="n"/>
    </row>
    <row r="26" ht="27.75" customHeight="1" s="46">
      <c r="A26" s="7" t="inlineStr">
        <is>
          <t>Traders</t>
        </is>
      </c>
      <c r="B26" s="7" t="inlineStr">
        <is>
          <t>1</t>
        </is>
      </c>
      <c r="C26" s="7" t="inlineStr">
        <is>
          <t>Market Charter</t>
        </is>
      </c>
      <c r="D26" s="7" t="inlineStr">
        <is>
          <t>Buy 15% cheaper, sell 20% dearer.</t>
        </is>
      </c>
      <c r="E26" s="30" t="inlineStr">
        <is>
          <t>Keep</t>
        </is>
      </c>
      <c r="F26" s="7" t="inlineStr">
        <is>
          <t>Market Charter</t>
        </is>
      </c>
      <c r="G26" s="7" t="inlineStr">
        <is>
          <t>As today (stacks with the trade upgrades of step 4).</t>
        </is>
      </c>
      <c r="H26" s="7" t="n"/>
      <c r="I26" s="45" t="n"/>
    </row>
    <row r="27" ht="13.5" customHeight="1" s="46">
      <c r="A27" s="7" t="inlineStr">
        <is>
          <t>Traders</t>
        </is>
      </c>
      <c r="B27" s="7" t="inlineStr">
        <is>
          <t>2</t>
        </is>
      </c>
      <c r="C27" s="7" t="inlineStr">
        <is>
          <t>Fair Town</t>
        </is>
      </c>
      <c r="D27" s="7" t="inlineStr">
        <is>
          <t>Merchants buy twice as much.</t>
        </is>
      </c>
      <c r="E27" s="30" t="inlineStr">
        <is>
          <t>Keep</t>
        </is>
      </c>
      <c r="F27" s="7" t="inlineStr">
        <is>
          <t>Fair Town</t>
        </is>
      </c>
      <c r="G27" s="7" t="inlineStr">
        <is>
          <t>As today.</t>
        </is>
      </c>
      <c r="H27" s="7" t="n"/>
      <c r="I27" s="45" t="n"/>
    </row>
    <row r="28" ht="13.5" customHeight="1" s="46">
      <c r="A28" s="7" t="inlineStr">
        <is>
          <t>Traders</t>
        </is>
      </c>
      <c r="B28" s="7" t="inlineStr">
        <is>
          <t>3a</t>
        </is>
      </c>
      <c r="C28" s="7" t="inlineStr">
        <is>
          <t>Merchant Guild</t>
        </is>
      </c>
      <c r="D28" s="7" t="inlineStr">
        <is>
          <t>Exports 30% more.</t>
        </is>
      </c>
      <c r="E28" s="30" t="inlineStr">
        <is>
          <t>Keep</t>
        </is>
      </c>
      <c r="F28" s="7" t="inlineStr">
        <is>
          <t>Merchant Guild</t>
        </is>
      </c>
      <c r="G28" s="7" t="inlineStr">
        <is>
          <t>As today.</t>
        </is>
      </c>
      <c r="H28" s="7" t="n"/>
      <c r="I28" s="45" t="n"/>
    </row>
    <row r="29" ht="27.75" customHeight="1" s="46">
      <c r="A29" s="7" t="inlineStr">
        <is>
          <t>Traders</t>
        </is>
      </c>
      <c r="B29" s="7" t="inlineStr">
        <is>
          <t>3b</t>
        </is>
      </c>
      <c r="C29" s="7" t="inlineStr">
        <is>
          <t>Toll Roads</t>
        </is>
      </c>
      <c r="D29" s="7" t="inlineStr">
        <is>
          <t>A coin a month for every two tiles of stone road or cobbles.</t>
        </is>
      </c>
      <c r="E29" s="43" t="inlineStr">
        <is>
          <t>Rework</t>
        </is>
      </c>
      <c r="F29" s="7" t="inlineStr">
        <is>
          <t>Toll Roads</t>
        </is>
      </c>
      <c r="G29" s="7" t="inlineStr">
        <is>
          <t>As today, and the Royal Road pays three times as much per tile.</t>
        </is>
      </c>
      <c r="H29" s="7" t="n"/>
      <c r="I29" s="45" t="n"/>
    </row>
    <row r="30" ht="13.5" customHeight="1" s="46">
      <c r="A30" s="10" t="inlineStr">
        <is>
          <t>Farmers</t>
        </is>
      </c>
      <c r="B30" s="10" t="n"/>
      <c r="C30" s="10" t="inlineStr">
        <is>
          <t>Path drawback</t>
        </is>
      </c>
      <c r="D30" s="10" t="inlineStr">
        <is>
          <t>Pastures carry a fifth fewer animals.</t>
        </is>
      </c>
      <c r="E30" s="10" t="n"/>
      <c r="F30" s="10" t="n"/>
      <c r="G30" s="10" t="n"/>
      <c r="H30" s="10" t="n"/>
      <c r="I30" s="10" t="n"/>
    </row>
    <row r="31" ht="13.5" customHeight="1" s="46">
      <c r="A31" s="7" t="inlineStr">
        <is>
          <t>Farmers</t>
        </is>
      </c>
      <c r="B31" s="7" t="inlineStr">
        <is>
          <t>1</t>
        </is>
      </c>
      <c r="C31" s="7" t="inlineStr">
        <is>
          <t>Three-Field Rotation</t>
        </is>
      </c>
      <c r="D31" s="7" t="inlineStr">
        <is>
          <t>Harvests 20% larger.</t>
        </is>
      </c>
      <c r="E31" s="30" t="inlineStr">
        <is>
          <t>Keep</t>
        </is>
      </c>
      <c r="F31" s="7" t="inlineStr">
        <is>
          <t>Three-Field Rotation</t>
        </is>
      </c>
      <c r="G31" s="7" t="inlineStr">
        <is>
          <t>As today.</t>
        </is>
      </c>
      <c r="H31" s="7" t="n"/>
      <c r="I31" s="45" t="n"/>
    </row>
    <row r="32" ht="42" customHeight="1" s="46">
      <c r="A32" s="7" t="inlineStr">
        <is>
          <t>Farmers</t>
        </is>
      </c>
      <c r="B32" s="7" t="inlineStr">
        <is>
          <t>2</t>
        </is>
      </c>
      <c r="C32" s="7" t="inlineStr">
        <is>
          <t>Heavy Plough</t>
        </is>
      </c>
      <c r="D32" s="7" t="inlineStr">
        <is>
          <t>Farmers tend half as many fields again.</t>
        </is>
      </c>
      <c r="E32" s="43" t="inlineStr">
        <is>
          <t>Rework</t>
        </is>
      </c>
      <c r="F32" s="7" t="inlineStr">
        <is>
          <t>Heavy Plough</t>
        </is>
      </c>
      <c r="G32" s="7" t="inlineStr">
        <is>
          <t>The iron plough (step 4) costs no knowledge and wears no tools; farmers tend a quarter more besides.</t>
        </is>
      </c>
      <c r="H32" s="7" t="n"/>
      <c r="I32" s="45" t="n"/>
    </row>
    <row r="33" ht="27.75" customHeight="1" s="46">
      <c r="A33" s="7" t="inlineStr">
        <is>
          <t>Farmers</t>
        </is>
      </c>
      <c r="B33" s="7" t="inlineStr">
        <is>
          <t>3a</t>
        </is>
      </c>
      <c r="C33" s="7" t="inlineStr">
        <is>
          <t>Breadbasket</t>
        </is>
      </c>
      <c r="D33" s="7" t="inlineStr">
        <is>
          <t>Granaries twice; mills and bakeries 30% more.</t>
        </is>
      </c>
      <c r="E33" s="30" t="inlineStr">
        <is>
          <t>Keep</t>
        </is>
      </c>
      <c r="F33" s="7" t="inlineStr">
        <is>
          <t>Breadbasket</t>
        </is>
      </c>
      <c r="G33" s="7" t="inlineStr">
        <is>
          <t>As today.</t>
        </is>
      </c>
      <c r="H33" s="7" t="n"/>
      <c r="I33" s="45" t="n"/>
    </row>
    <row r="34" ht="27.75" customHeight="1" s="46">
      <c r="A34" s="7" t="inlineStr">
        <is>
          <t>Farmers</t>
        </is>
      </c>
      <c r="B34" s="7" t="inlineStr">
        <is>
          <t>3b</t>
        </is>
      </c>
      <c r="C34" s="7" t="inlineStr">
        <is>
          <t>Brewers' Guild</t>
        </is>
      </c>
      <c r="D34" s="7" t="inlineStr">
        <is>
          <t>Ale half again; ale fetches double.</t>
        </is>
      </c>
      <c r="E34" s="30" t="inlineStr">
        <is>
          <t>Keep</t>
        </is>
      </c>
      <c r="F34" s="7" t="inlineStr">
        <is>
          <t>Brewers' Guild</t>
        </is>
      </c>
      <c r="G34" s="13" t="inlineStr">
        <is>
          <t>Every brewhouse drink half again; drinks fetch half again.</t>
        </is>
      </c>
      <c r="H34" s="7" t="n"/>
      <c r="I34" s="45" t="inlineStr">
        <is>
          <t>Fetches 1.5 is enough</t>
        </is>
      </c>
    </row>
    <row r="35" ht="13.5" customHeight="1" s="46">
      <c r="A35" s="10" t="inlineStr">
        <is>
          <t>Shepherds</t>
        </is>
      </c>
      <c r="B35" s="10" t="n"/>
      <c r="C35" s="10" t="inlineStr">
        <is>
          <t>Path drawback</t>
        </is>
      </c>
      <c r="D35" s="10" t="inlineStr">
        <is>
          <t>Fields yield a tenth less.</t>
        </is>
      </c>
      <c r="E35" s="10" t="n"/>
      <c r="F35" s="10" t="n"/>
      <c r="G35" s="10" t="n"/>
      <c r="H35" s="10" t="n"/>
      <c r="I35" s="10" t="n"/>
    </row>
    <row r="36" ht="13.5" customHeight="1" s="46">
      <c r="A36" s="7" t="inlineStr">
        <is>
          <t>Shepherds</t>
        </is>
      </c>
      <c r="B36" s="7" t="inlineStr">
        <is>
          <t>1</t>
        </is>
      </c>
      <c r="C36" s="7" t="inlineStr">
        <is>
          <t>Good Husbandry</t>
        </is>
      </c>
      <c r="D36" s="7" t="inlineStr">
        <is>
          <t>Herds 30% more.</t>
        </is>
      </c>
      <c r="E36" s="30" t="inlineStr">
        <is>
          <t>Keep</t>
        </is>
      </c>
      <c r="F36" s="7" t="inlineStr">
        <is>
          <t>Good Husbandry</t>
        </is>
      </c>
      <c r="G36" s="7" t="inlineStr">
        <is>
          <t>As today.</t>
        </is>
      </c>
      <c r="H36" s="7" t="n"/>
      <c r="I36" s="45" t="n"/>
    </row>
    <row r="37" ht="13.5" customHeight="1" s="46">
      <c r="A37" s="7" t="inlineStr">
        <is>
          <t>Shepherds</t>
        </is>
      </c>
      <c r="B37" s="7" t="inlineStr">
        <is>
          <t>2</t>
        </is>
      </c>
      <c r="C37" s="7" t="inlineStr">
        <is>
          <t>Great Herds</t>
        </is>
      </c>
      <c r="D37" s="7" t="inlineStr">
        <is>
          <t>Pastures carry half again.</t>
        </is>
      </c>
      <c r="E37" s="30" t="inlineStr">
        <is>
          <t>Keep</t>
        </is>
      </c>
      <c r="F37" s="7" t="inlineStr">
        <is>
          <t>Great Herds</t>
        </is>
      </c>
      <c r="G37" s="7" t="inlineStr">
        <is>
          <t>As today (stacks with animal sheds).</t>
        </is>
      </c>
      <c r="H37" s="7" t="n"/>
      <c r="I37" s="45" t="n"/>
    </row>
    <row r="38" ht="27.75" customHeight="1" s="46">
      <c r="A38" s="7" t="inlineStr">
        <is>
          <t>Shepherds</t>
        </is>
      </c>
      <c r="B38" s="7" t="inlineStr">
        <is>
          <t>3a</t>
        </is>
      </c>
      <c r="C38" s="7" t="inlineStr">
        <is>
          <t>Butchers' Guild</t>
        </is>
      </c>
      <c r="D38" s="7" t="inlineStr">
        <is>
          <t>Slaughter half again meat; tanners a third faster.</t>
        </is>
      </c>
      <c r="E38" s="30" t="inlineStr">
        <is>
          <t>Keep</t>
        </is>
      </c>
      <c r="F38" s="7" t="inlineStr">
        <is>
          <t>Butchers' Guild</t>
        </is>
      </c>
      <c r="G38" s="7" t="inlineStr">
        <is>
          <t>As today; parchment too.</t>
        </is>
      </c>
      <c r="H38" s="7" t="n"/>
      <c r="I38" s="45" t="n"/>
    </row>
    <row r="39" ht="27.75" customHeight="1" s="46">
      <c r="A39" s="7" t="inlineStr">
        <is>
          <t>Shepherds</t>
        </is>
      </c>
      <c r="B39" s="7" t="inlineStr">
        <is>
          <t>3b</t>
        </is>
      </c>
      <c r="C39" s="7" t="inlineStr">
        <is>
          <t>Fine Cheese</t>
        </is>
      </c>
      <c r="D39" s="7" t="inlineStr">
        <is>
          <t>Cheese half again and double the price.</t>
        </is>
      </c>
      <c r="E39" s="30" t="inlineStr">
        <is>
          <t>Keep</t>
        </is>
      </c>
      <c r="F39" s="7" t="inlineStr">
        <is>
          <t>Fine Cheese</t>
        </is>
      </c>
      <c r="G39" s="13" t="inlineStr">
        <is>
          <t>Cheese half again; cheese fetches half again.</t>
        </is>
      </c>
      <c r="H39" s="7" t="n"/>
      <c r="I39" s="45" t="inlineStr">
        <is>
          <t>1.5 times</t>
        </is>
      </c>
    </row>
    <row r="40" ht="27.75" customHeight="1" s="46">
      <c r="A40" s="10" t="inlineStr">
        <is>
          <t>Artisans' Guilds (new)</t>
        </is>
      </c>
      <c r="B40" s="10" t="n"/>
      <c r="C40" s="10" t="inlineStr">
        <is>
          <t>Path drawback</t>
        </is>
      </c>
      <c r="D40" s="10" t="inlineStr">
        <is>
          <t>The dye works stink: homes near a dyer a little less happy.</t>
        </is>
      </c>
      <c r="E40" s="10" t="n"/>
      <c r="F40" s="10" t="n"/>
      <c r="G40" s="10" t="n"/>
      <c r="H40" s="10" t="n"/>
      <c r="I40" s="10" t="n"/>
    </row>
    <row r="41" ht="27.75" customHeight="1" s="46">
      <c r="A41" s="7" t="inlineStr">
        <is>
          <t>Artisans' Guilds (new)</t>
        </is>
      </c>
      <c r="B41" s="7" t="inlineStr">
        <is>
          <t>1</t>
        </is>
      </c>
      <c r="C41" s="7" t="inlineStr">
        <is>
          <t>—</t>
        </is>
      </c>
      <c r="D41" s="7" t="n"/>
      <c r="E41" s="13" t="inlineStr">
        <is>
          <t>New</t>
        </is>
      </c>
      <c r="F41" s="7" t="inlineStr">
        <is>
          <t>Dyers' Guild</t>
        </is>
      </c>
      <c r="G41" s="7" t="inlineStr">
        <is>
          <t>Dyers half again; berries dye as well as woad.</t>
        </is>
      </c>
      <c r="H41" s="7" t="n"/>
      <c r="I41" s="45" t="n"/>
    </row>
    <row r="42" ht="27.75" customHeight="1" s="46">
      <c r="A42" s="7" t="inlineStr">
        <is>
          <t>Artisans' Guilds (new)</t>
        </is>
      </c>
      <c r="B42" s="7" t="inlineStr">
        <is>
          <t>2</t>
        </is>
      </c>
      <c r="C42" s="7" t="inlineStr">
        <is>
          <t>—</t>
        </is>
      </c>
      <c r="D42" s="7" t="n"/>
      <c r="E42" s="13" t="inlineStr">
        <is>
          <t>New</t>
        </is>
      </c>
      <c r="F42" s="7" t="inlineStr">
        <is>
          <t>Glaziers</t>
        </is>
      </c>
      <c r="G42" s="7" t="inlineStr">
        <is>
          <t>Glassworks and glaziers a third faster.</t>
        </is>
      </c>
      <c r="H42" s="7" t="n"/>
      <c r="I42" s="45" t="n"/>
    </row>
    <row r="43" ht="27.75" customHeight="1" s="46">
      <c r="A43" s="7" t="inlineStr">
        <is>
          <t>Artisans' Guilds (new)</t>
        </is>
      </c>
      <c r="B43" s="7" t="inlineStr">
        <is>
          <t>3a</t>
        </is>
      </c>
      <c r="C43" s="7" t="inlineStr">
        <is>
          <t>—</t>
        </is>
      </c>
      <c r="D43" s="7" t="n"/>
      <c r="E43" s="13" t="inlineStr">
        <is>
          <t>New</t>
        </is>
      </c>
      <c r="F43" s="7" t="inlineStr">
        <is>
          <t>Drapers' Guild</t>
        </is>
      </c>
      <c r="G43" s="13" t="inlineStr">
        <is>
          <t>Embroiderers twice as fast; fine clothes fetch a quarter more.</t>
        </is>
      </c>
      <c r="H43" s="7" t="inlineStr">
        <is>
          <t>Tapestry looms (the atelier's tapestry twice as likely)</t>
        </is>
      </c>
      <c r="I43" s="45" t="inlineStr">
        <is>
          <t>1.25 is enough</t>
        </is>
      </c>
    </row>
    <row r="44" ht="27.75" customHeight="1" s="46">
      <c r="A44" s="7" t="inlineStr">
        <is>
          <t>Artisans' Guilds (new)</t>
        </is>
      </c>
      <c r="B44" s="7" t="inlineStr">
        <is>
          <t>3b</t>
        </is>
      </c>
      <c r="C44" s="7" t="inlineStr">
        <is>
          <t>—</t>
        </is>
      </c>
      <c r="D44" s="7" t="n"/>
      <c r="E44" s="13" t="inlineStr">
        <is>
          <t>New</t>
        </is>
      </c>
      <c r="F44" s="7" t="inlineStr">
        <is>
          <t>Potters' Guild</t>
        </is>
      </c>
      <c r="G44" s="7" t="inlineStr">
        <is>
          <t>Potters twice as fast; fine pottery counts as two luxuries for a home.</t>
        </is>
      </c>
      <c r="H44" s="7" t="n"/>
      <c r="I44" s="45" t="n"/>
    </row>
    <row r="45" ht="15.75" customHeight="1" s="46"/>
    <row r="46" ht="15.75" customHeight="1" s="46">
      <c r="A46" s="3" t="inlineStr">
        <is>
          <t>Cost: prestige, 40 for the first and 1.6 times more for each one after (unchanged). A town can take a little of several paths or go deep in one; each third rank is one of two.</t>
        </is>
      </c>
    </row>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ColWidth="14.43" defaultRowHeight="15" customHeight="1"/>
  <cols>
    <col width="44" customWidth="1" style="46" min="1" max="1"/>
    <col width="10" customWidth="1" style="46" min="2" max="2"/>
    <col width="12" customWidth="1" style="46" min="3" max="4"/>
    <col width="8.710000000000001" customWidth="1" style="46" min="5" max="26"/>
  </cols>
  <sheetData>
    <row r="1">
      <c r="A1" s="1" t="inlineStr">
        <is>
          <t>Charter prices: rising so that about two full paths fit in a game</t>
        </is>
      </c>
    </row>
    <row r="2">
      <c r="A2" s="3" t="inlineStr">
        <is>
          <t>Price of the n-th charter = base x growth^(n-1). Blue cells are levers. Two full paths = 6 charters (three ranks each).</t>
        </is>
      </c>
    </row>
    <row r="4">
      <c r="A4" s="8" t="inlineStr">
        <is>
          <t>Base price (first charter)</t>
        </is>
      </c>
      <c r="B4" s="44" t="n">
        <v>40</v>
      </c>
    </row>
    <row r="5">
      <c r="A5" s="8" t="inlineStr">
        <is>
          <t>Growth for each charter after</t>
        </is>
      </c>
      <c r="B5" s="44" t="n">
        <v>1.8</v>
      </c>
    </row>
    <row r="6">
      <c r="A6" s="8" t="inlineStr">
        <is>
          <t>Prestige a typical game can put into charters</t>
        </is>
      </c>
      <c r="B6" s="44" t="n">
        <v>2500</v>
      </c>
      <c r="C6" s="3" t="inlineStr">
        <is>
          <t>Estimate: what a game earns after titles; recheck in step 8 against the real prestige income.</t>
        </is>
      </c>
    </row>
    <row r="8">
      <c r="A8" s="33" t="inlineStr">
        <is>
          <t>Charter</t>
        </is>
      </c>
      <c r="B8" s="33" t="inlineStr">
        <is>
          <t>Price</t>
        </is>
      </c>
      <c r="C8" s="33" t="inlineStr">
        <is>
          <t>Total so far</t>
        </is>
      </c>
      <c r="D8" s="33" t="inlineStr">
        <is>
          <t>Affordable?</t>
        </is>
      </c>
    </row>
    <row r="9">
      <c r="A9" s="8" t="n">
        <v>1</v>
      </c>
      <c r="B9" s="8">
        <f>ROUND($B$4*$B$5^(A9-1),0)</f>
        <v/>
      </c>
      <c r="C9" s="8">
        <f>SUM($B$9:B9)</f>
        <v/>
      </c>
      <c r="D9" s="8">
        <f>IF(C9&lt;=$B$6,"Yes","No")</f>
        <v/>
      </c>
    </row>
    <row r="10">
      <c r="A10" s="8" t="n">
        <v>2</v>
      </c>
      <c r="B10" s="8">
        <f>ROUND($B$4*$B$5^(A10-1),0)</f>
        <v/>
      </c>
      <c r="C10" s="8">
        <f>SUM($B$9:B10)</f>
        <v/>
      </c>
      <c r="D10" s="8">
        <f>IF(C10&lt;=$B$6,"Yes","No")</f>
        <v/>
      </c>
    </row>
    <row r="11">
      <c r="A11" s="8" t="n">
        <v>3</v>
      </c>
      <c r="B11" s="8">
        <f>ROUND($B$4*$B$5^(A11-1),0)</f>
        <v/>
      </c>
      <c r="C11" s="8">
        <f>SUM($B$9:B11)</f>
        <v/>
      </c>
      <c r="D11" s="8">
        <f>IF(C11&lt;=$B$6,"Yes","No")</f>
        <v/>
      </c>
    </row>
    <row r="12">
      <c r="A12" s="8" t="n">
        <v>4</v>
      </c>
      <c r="B12" s="8">
        <f>ROUND($B$4*$B$5^(A12-1),0)</f>
        <v/>
      </c>
      <c r="C12" s="8">
        <f>SUM($B$9:B12)</f>
        <v/>
      </c>
      <c r="D12" s="8">
        <f>IF(C12&lt;=$B$6,"Yes","No")</f>
        <v/>
      </c>
    </row>
    <row r="13">
      <c r="A13" s="8" t="n">
        <v>5</v>
      </c>
      <c r="B13" s="8">
        <f>ROUND($B$4*$B$5^(A13-1),0)</f>
        <v/>
      </c>
      <c r="C13" s="8">
        <f>SUM($B$9:B13)</f>
        <v/>
      </c>
      <c r="D13" s="8">
        <f>IF(C13&lt;=$B$6,"Yes","No")</f>
        <v/>
      </c>
    </row>
    <row r="14">
      <c r="A14" s="8" t="n">
        <v>6</v>
      </c>
      <c r="B14" s="8">
        <f>ROUND($B$4*$B$5^(A14-1),0)</f>
        <v/>
      </c>
      <c r="C14" s="8">
        <f>SUM($B$9:B14)</f>
        <v/>
      </c>
      <c r="D14" s="8">
        <f>IF(C14&lt;=$B$6,"Yes","No")</f>
        <v/>
      </c>
    </row>
    <row r="15">
      <c r="A15" s="8" t="n">
        <v>7</v>
      </c>
      <c r="B15" s="8">
        <f>ROUND($B$4*$B$5^(A15-1),0)</f>
        <v/>
      </c>
      <c r="C15" s="8">
        <f>SUM($B$9:B15)</f>
        <v/>
      </c>
      <c r="D15" s="8">
        <f>IF(C15&lt;=$B$6,"Yes","No")</f>
        <v/>
      </c>
    </row>
    <row r="16">
      <c r="A16" s="8" t="n">
        <v>8</v>
      </c>
      <c r="B16" s="8">
        <f>ROUND($B$4*$B$5^(A16-1),0)</f>
        <v/>
      </c>
      <c r="C16" s="8">
        <f>SUM($B$9:B16)</f>
        <v/>
      </c>
      <c r="D16" s="8">
        <f>IF(C16&lt;=$B$6,"Yes","No")</f>
        <v/>
      </c>
    </row>
    <row r="17">
      <c r="A17" s="8" t="n">
        <v>9</v>
      </c>
      <c r="B17" s="8">
        <f>ROUND($B$4*$B$5^(A17-1),0)</f>
        <v/>
      </c>
      <c r="C17" s="8">
        <f>SUM($B$9:B17)</f>
        <v/>
      </c>
      <c r="D17" s="8">
        <f>IF(C17&lt;=$B$6,"Yes","No")</f>
        <v/>
      </c>
    </row>
    <row r="18">
      <c r="A18" s="8" t="n">
        <v>10</v>
      </c>
      <c r="B18" s="8">
        <f>ROUND($B$4*$B$5^(A18-1),0)</f>
        <v/>
      </c>
      <c r="C18" s="8">
        <f>SUM($B$9:B18)</f>
        <v/>
      </c>
      <c r="D18" s="8">
        <f>IF(C18&lt;=$B$6,"Yes","No")</f>
        <v/>
      </c>
    </row>
    <row r="20">
      <c r="A20" s="4" t="inlineStr">
        <is>
          <t>Charters a typical game affords</t>
        </is>
      </c>
      <c r="B20" s="4">
        <f>COUNTIF(D9:D18,"Yes")</f>
        <v/>
      </c>
    </row>
    <row r="21" ht="15.75" customHeight="1" s="46">
      <c r="A21" s="3" t="inlineStr">
        <is>
          <t>Today: base 40, growth 1.6 (the 6th costs 420, all six 1,450).</t>
        </is>
      </c>
    </row>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8.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2" customWidth="1" style="46" min="2" max="2"/>
    <col width="62" customWidth="1" style="46" min="3" max="3"/>
    <col width="40" customWidth="1" style="46" min="4" max="4"/>
    <col width="8.710000000000001" customWidth="1" style="46" min="5" max="6"/>
  </cols>
  <sheetData>
    <row r="1">
      <c r="A1" s="1" t="inlineStr">
        <is>
          <t>Step 6: decisions</t>
        </is>
      </c>
    </row>
    <row r="2">
      <c r="A2" s="3" t="inlineStr">
        <is>
          <t>My recommendation first; yours in the yellow column.</t>
        </is>
      </c>
    </row>
    <row r="4">
      <c r="A4" s="9" t="inlineStr">
        <is>
          <t>#</t>
        </is>
      </c>
      <c r="B4" s="9" t="inlineStr">
        <is>
          <t>Question</t>
        </is>
      </c>
      <c r="C4" s="9" t="inlineStr">
        <is>
          <t>My recommendation</t>
        </is>
      </c>
      <c r="D4" s="9" t="inlineStr">
        <is>
          <t>Your answer</t>
        </is>
      </c>
    </row>
    <row r="5" ht="27.75" customHeight="1" s="46">
      <c r="A5" s="7" t="n">
        <v>1</v>
      </c>
      <c r="B5" s="7" t="inlineStr">
        <is>
          <t>An eighth path, Artisans' Guilds (dyes, glass, fine clothes, pottery)?</t>
        </is>
      </c>
      <c r="C5" s="7" t="inlineStr">
        <is>
          <t>Yes: steps 1-3 built a whole luxury industry that no path speaks to.</t>
        </is>
      </c>
      <c r="D5" s="45" t="inlineStr">
        <is>
          <t>Sounds cool</t>
        </is>
      </c>
    </row>
    <row r="6" ht="27.75" customHeight="1" s="46">
      <c r="A6" s="7" t="n">
        <v>2</v>
      </c>
      <c r="B6" s="7" t="inlineStr">
        <is>
          <t>Armourers' Guild becomes the Ironmongers' Guild (arms are gone).</t>
        </is>
      </c>
      <c r="C6" s="7" t="inlineStr">
        <is>
          <t>Yes: tools are the late game's bottleneck, so a tool path matters.</t>
        </is>
      </c>
      <c r="D6" s="45" t="inlineStr">
        <is>
          <t>Ok</t>
        </is>
      </c>
    </row>
    <row r="7" ht="42" customHeight="1" s="46">
      <c r="A7" s="7" t="n">
        <v>3</v>
      </c>
      <c r="B7" s="7" t="inlineStr">
        <is>
          <t>Heavy Plough now empowers the iron plough extension instead of duplicating it.</t>
        </is>
      </c>
      <c r="C7" s="7" t="inlineStr">
        <is>
          <t>Yes.</t>
        </is>
      </c>
      <c r="D7" s="45" t="inlineStr">
        <is>
          <t>Ok</t>
        </is>
      </c>
    </row>
    <row r="8" ht="42" customHeight="1" s="46">
      <c r="A8" s="7" t="n">
        <v>4</v>
      </c>
      <c r="B8" s="7" t="inlineStr">
        <is>
          <t>Charters only open at Town; should the third rank also wait for Borough?</t>
        </is>
      </c>
      <c r="C8" s="7" t="inlineStr">
        <is>
          <t>Yes: today a town can rush a whole path at Town; the choice at the end should come later.</t>
        </is>
      </c>
      <c r="D8" s="45" t="inlineStr">
        <is>
          <t>I think we should make price rise exponentially. A regular player should unlock 2 full paths in a game</t>
        </is>
      </c>
    </row>
    <row r="9" ht="27.75" customHeight="1" s="46">
      <c r="A9" s="7" t="n">
        <v>5</v>
      </c>
      <c r="B9" s="7" t="inlineStr">
        <is>
          <t>Charter cost stays prestige (40, then 1.6 times more each).</t>
        </is>
      </c>
      <c r="C9" s="7" t="inlineStr">
        <is>
          <t>Yes for now; recheck in step 8 against the new prestige income.</t>
        </is>
      </c>
      <c r="D9" s="45" t="inlineStr">
        <is>
          <t>Agree with rechecking</t>
        </is>
      </c>
    </row>
    <row r="10" ht="27.75" customHeight="1" s="46">
      <c r="A10" s="7" t="n">
        <v>6</v>
      </c>
      <c r="B10" s="7" t="inlineStr">
        <is>
          <t>Should a charter let you re-pick one town choice (step 4)?</t>
        </is>
      </c>
      <c r="C10" s="7" t="inlineStr">
        <is>
          <t>No: choices stay final; charters stay about specialising.</t>
        </is>
      </c>
      <c r="D10" s="45" t="inlineStr">
        <is>
          <t>No</t>
        </is>
      </c>
    </row>
    <row r="11" ht="27.75" customHeight="1" s="46">
      <c r="A11" s="7" t="n">
        <v>7</v>
      </c>
      <c r="B11" s="7" t="inlineStr">
        <is>
          <t>Every path keeps a drawback.</t>
        </is>
      </c>
      <c r="C11" s="7" t="inlineStr">
        <is>
          <t>Yes: it is what makes going deep a real decision.</t>
        </is>
      </c>
      <c r="D11" s="45" t="inlineStr">
        <is>
          <t>Yes</t>
        </is>
      </c>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2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46" min="1" max="1"/>
    <col width="16" customWidth="1" style="46" min="2" max="2"/>
    <col width="60" customWidth="1" style="46" min="3" max="3"/>
    <col width="40" customWidth="1" style="46" min="4" max="4"/>
    <col width="11" customWidth="1" style="46" min="5" max="5"/>
    <col width="28" customWidth="1" style="46" min="6" max="6"/>
    <col width="8.710000000000001" customWidth="1" style="46" min="7" max="26"/>
  </cols>
  <sheetData>
    <row r="1">
      <c r="A1" s="1" t="inlineStr">
        <is>
          <t>Step 7: the learning panel</t>
        </is>
      </c>
    </row>
    <row r="2">
      <c r="A2" s="3" t="inlineStr">
        <is>
          <t>How unlocks are shown and bought. Not a strict tree: a web of cards grouped by craft, with arrows only where one thing really needs another.</t>
        </is>
      </c>
    </row>
    <row r="4">
      <c r="A4" s="9" t="inlineStr">
        <is>
          <t>ID</t>
        </is>
      </c>
      <c r="B4" s="9" t="inlineStr">
        <is>
          <t>Part</t>
        </is>
      </c>
      <c r="C4" s="9" t="inlineStr">
        <is>
          <t>How it works</t>
        </is>
      </c>
      <c r="D4" s="9" t="inlineStr">
        <is>
          <t>Why</t>
        </is>
      </c>
      <c r="E4" s="9" t="inlineStr">
        <is>
          <t>Your call</t>
        </is>
      </c>
      <c r="F4" s="9" t="inlineStr">
        <is>
          <t>Your notes</t>
        </is>
      </c>
    </row>
    <row r="5" ht="13.5" customHeight="1" s="46">
      <c r="A5" s="10" t="inlineStr">
        <is>
          <t>Layout</t>
        </is>
      </c>
      <c r="B5" s="10" t="n"/>
      <c r="C5" s="10" t="n"/>
      <c r="D5" s="10" t="n"/>
      <c r="E5" s="10" t="n"/>
      <c r="F5" s="10" t="n"/>
    </row>
    <row r="6" ht="69.75" customHeight="1" s="46">
      <c r="A6" s="7" t="inlineStr">
        <is>
          <t>L1</t>
        </is>
      </c>
      <c r="B6" s="7" t="inlineStr">
        <is>
          <t>Opening it</t>
        </is>
      </c>
      <c r="C6" s="7" t="inlineStr">
        <is>
          <t>A book button beside the knowledge counter in the top bar opens a full-screen panel (like the big trading-post window). Locked cards in the build menu open it at their own card.</t>
        </is>
      </c>
      <c r="D6" s="7" t="inlineStr">
        <is>
          <t>One place to learn; the build menu points to it.</t>
        </is>
      </c>
      <c r="E6" s="45" t="inlineStr">
        <is>
          <t>Agreed</t>
        </is>
      </c>
      <c r="F6" s="45" t="n"/>
    </row>
    <row r="7" ht="55.5" customHeight="1" s="46">
      <c r="A7" s="7" t="inlineStr">
        <is>
          <t>L2</t>
        </is>
      </c>
      <c r="B7" s="7" t="inlineStr">
        <is>
          <t>Tabs by craft</t>
        </is>
      </c>
      <c r="C7" s="7" t="inlineStr">
        <is>
          <t>Timber &amp; stone · Farming &amp; food · Herds &amp; orchards · Cloth &amp; dyes · Metal &amp; glass · Civic &amp; learning · Trade &amp; roads · City projects.</t>
        </is>
      </c>
      <c r="D7" s="7" t="inlineStr">
        <is>
          <t>Crafts read as stories (timber to planks to the water sawmill); categories like "Industry" would mix unrelated lines.</t>
        </is>
      </c>
      <c r="E7" s="45" t="inlineStr">
        <is>
          <t>Changes</t>
        </is>
      </c>
      <c r="F7" s="45" t="inlineStr">
        <is>
          <t>I think civic, learning, trade &amp; roads could be together.</t>
        </is>
      </c>
    </row>
    <row r="8" ht="42" customHeight="1" s="46">
      <c r="A8" s="7" t="inlineStr">
        <is>
          <t>L3</t>
        </is>
      </c>
      <c r="B8" s="7" t="inlineStr">
        <is>
          <t>Columns by depth</t>
        </is>
      </c>
      <c r="C8" s="7" t="inlineStr">
        <is>
          <t>Within a tab, cards run left to right: basic buildings, then mixed goods, then upgrades, extensions, variants and choices.</t>
        </is>
      </c>
      <c r="D8" s="7" t="inlineStr">
        <is>
          <t>The eye moves from "how to start" to "how to refine".</t>
        </is>
      </c>
      <c r="E8" s="45" t="inlineStr">
        <is>
          <t>No</t>
        </is>
      </c>
      <c r="F8" s="45" t="inlineStr">
        <is>
          <t>I want them to look like scout patches on a wooden board, scattered with the appropriate ones together</t>
        </is>
      </c>
    </row>
    <row r="9" ht="55.5" customHeight="1" s="46">
      <c r="A9" s="7" t="inlineStr">
        <is>
          <t>L4</t>
        </is>
      </c>
      <c r="B9" s="7" t="inlineStr">
        <is>
          <t>Arrows</t>
        </is>
      </c>
      <c r="C9" s="7" t="inlineStr">
        <is>
          <t>Only where something needs another: an upgrade or extension needs its building, a chain step needs the step before, a condition names a good. Everything else floats free.</t>
        </is>
      </c>
      <c r="D9" s="7" t="inlineStr">
        <is>
          <t>A web, not a tree: you said it need not be a tree exactly.</t>
        </is>
      </c>
      <c r="E9" s="45" t="inlineStr">
        <is>
          <t>Agreed</t>
        </is>
      </c>
      <c r="F9" s="45" t="n"/>
    </row>
    <row r="10" ht="13.5" customHeight="1" s="46">
      <c r="A10" s="10" t="inlineStr">
        <is>
          <t>Cards</t>
        </is>
      </c>
      <c r="B10" s="10" t="n"/>
      <c r="C10" s="10" t="n"/>
      <c r="D10" s="10" t="n"/>
      <c r="E10" s="10" t="n"/>
      <c r="F10" s="10" t="n"/>
    </row>
    <row r="11" ht="55.5" customHeight="1" s="46">
      <c r="A11" s="7" t="inlineStr">
        <is>
          <t>L5</t>
        </is>
      </c>
      <c r="B11" s="7" t="inlineStr">
        <is>
          <t>A card</t>
        </is>
      </c>
      <c r="C11" s="7" t="inlineStr">
        <is>
          <t>Picture (the building icon), name, kind (building, upgrade, extension, variant, choice, option), what it changes in one line, knowledge price.</t>
        </is>
      </c>
      <c r="D11" s="7" t="n"/>
      <c r="E11" s="45" t="inlineStr">
        <is>
          <t>Agreed</t>
        </is>
      </c>
      <c r="F11" s="45" t="n"/>
    </row>
    <row r="12" ht="55.5" customHeight="1" s="46">
      <c r="A12" s="7" t="inlineStr">
        <is>
          <t>L6</t>
        </is>
      </c>
      <c r="B12" s="7" t="inlineStr">
        <is>
          <t>States</t>
        </is>
      </c>
      <c r="C12" s="7" t="inlineStr">
        <is>
          <t>Hidden until its inputs can be had (made or bought) · Locked: shows what it waits for (rank, knowledge, condition with a progress bar) · Ready to learn · Learned.</t>
        </is>
      </c>
      <c r="D12" s="7" t="inlineStr">
        <is>
          <t>Players see the next steps, not 150 cards at once.</t>
        </is>
      </c>
      <c r="E12" s="45" t="inlineStr">
        <is>
          <t>No hidden, only locks and further</t>
        </is>
      </c>
      <c r="F12" s="45" t="n"/>
    </row>
    <row r="13" ht="42" customHeight="1" s="46">
      <c r="A13" s="7" t="inlineStr">
        <is>
          <t>L7</t>
        </is>
      </c>
      <c r="B13" s="7" t="inlineStr">
        <is>
          <t>Choices</t>
        </is>
      </c>
      <c r="C13" s="7" t="inlineStr">
        <is>
          <t>Shown as two (or three) cards joined by "or". Picking one greys the others for good, with a confirm that says so.</t>
        </is>
      </c>
      <c r="D13" s="7" t="inlineStr">
        <is>
          <t>Choices are final (step 4).</t>
        </is>
      </c>
      <c r="E13" s="45" t="inlineStr">
        <is>
          <t>Agreed</t>
        </is>
      </c>
      <c r="F13" s="45" t="n"/>
    </row>
    <row r="14" ht="55.5" customHeight="1" s="46">
      <c r="A14" s="7" t="inlineStr">
        <is>
          <t>L8</t>
        </is>
      </c>
      <c r="B14" s="7" t="inlineStr">
        <is>
          <t>Learning</t>
        </is>
      </c>
      <c r="C14" s="7" t="inlineStr">
        <is>
          <t>Click a ready card, confirm, knowledge is spent; the card turns gold and the build menu gains it. Fingamoboblius comments on the first few.</t>
        </is>
      </c>
      <c r="D14" s="7" t="n"/>
      <c r="E14" s="45" t="inlineStr">
        <is>
          <t>Ok, let's see how it looks</t>
        </is>
      </c>
      <c r="F14" s="45" t="n"/>
    </row>
    <row r="15" ht="13.5" customHeight="1" s="46">
      <c r="A15" s="10" t="inlineStr">
        <is>
          <t>Guidance</t>
        </is>
      </c>
      <c r="B15" s="10" t="n"/>
      <c r="C15" s="10" t="n"/>
      <c r="D15" s="10" t="n"/>
      <c r="E15" s="10" t="n"/>
      <c r="F15" s="10" t="n"/>
    </row>
    <row r="16" ht="42" customHeight="1" s="46">
      <c r="A16" s="7" t="inlineStr">
        <is>
          <t>L9</t>
        </is>
      </c>
      <c r="B16" s="7" t="inlineStr">
        <is>
          <t>What next</t>
        </is>
      </c>
      <c r="C16" s="7" t="inlineStr">
        <is>
          <t>A "Suggested" strip at the top: what the next home level needs that is not learned yet, cheapest first.</t>
        </is>
      </c>
      <c r="D16" s="7" t="inlineStr">
        <is>
          <t>Nobody stalls on a house level (G9).</t>
        </is>
      </c>
      <c r="E16" s="45" t="inlineStr">
        <is>
          <t>Players are not stupid, an explanation by Finga will sufice</t>
        </is>
      </c>
      <c r="F16" s="45" t="n"/>
    </row>
    <row r="17" ht="42" customHeight="1" s="46">
      <c r="A17" s="7" t="inlineStr">
        <is>
          <t>L10</t>
        </is>
      </c>
      <c r="B17" s="7" t="inlineStr">
        <is>
          <t>Old saves</t>
        </is>
      </c>
      <c r="C17" s="7" t="inlineStr">
        <is>
          <t>Saves from before the rework start with everything they have already built learned (and nothing else).</t>
        </is>
      </c>
      <c r="D17" s="7" t="inlineStr">
        <is>
          <t>You said saves may break; this keeps them loading.</t>
        </is>
      </c>
      <c r="E17" s="45" t="inlineStr">
        <is>
          <t>If it is easy, ok</t>
        </is>
      </c>
      <c r="F17" s="45" t="n"/>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30.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B6" sqref="B6"/>
    </sheetView>
  </sheetViews>
  <sheetFormatPr baseColWidth="8" defaultColWidth="14.43" defaultRowHeight="15" customHeight="1"/>
  <cols>
    <col width="22" customWidth="1" style="46" min="1" max="1"/>
    <col width="46" customWidth="1" style="46" min="2" max="2"/>
    <col width="10" customWidth="1" style="46" min="3" max="3"/>
    <col width="18" customWidth="1" style="46" min="4" max="5"/>
    <col width="34" customWidth="1" style="46" min="6" max="6"/>
    <col width="24" customWidth="1" style="46" min="7" max="7"/>
    <col width="8.710000000000001" customWidth="1" style="46" min="8" max="26"/>
  </cols>
  <sheetData>
    <row r="1">
      <c r="A1" s="1" t="inlineStr">
        <is>
          <t>Step 7: City projects, big learning for the late game</t>
        </is>
      </c>
    </row>
    <row r="2">
      <c r="A2" s="3" t="inlineStr">
        <is>
          <t>Knowledge sinks with a lasting effect each, bought in the learning panel. Prices in blue; the total is checked against what is left.</t>
        </is>
      </c>
    </row>
    <row r="4">
      <c r="A4" s="9" t="inlineStr">
        <is>
          <t>Project</t>
        </is>
      </c>
      <c r="B4" s="9" t="inlineStr">
        <is>
          <t>What it changes</t>
        </is>
      </c>
      <c r="C4" s="9" t="inlineStr">
        <is>
          <t>Knowledge</t>
        </is>
      </c>
      <c r="D4" s="9" t="inlineStr">
        <is>
          <t>Also costs</t>
        </is>
      </c>
      <c r="E4" s="9" t="inlineStr">
        <is>
          <t>Needs</t>
        </is>
      </c>
      <c r="F4" s="9" t="inlineStr">
        <is>
          <t>Why</t>
        </is>
      </c>
      <c r="G4" s="9" t="inlineStr">
        <is>
          <t>Your notes</t>
        </is>
      </c>
    </row>
    <row r="5" ht="42" customHeight="1" s="46">
      <c r="A5" s="7" t="inlineStr">
        <is>
          <t>The Great Survey</t>
        </is>
      </c>
      <c r="B5" s="7" t="inlineStr">
        <is>
          <t>Every deposit on the map is shown (ore, clay, sand, silver if veins exist) and the soil map is drawn for fields.</t>
        </is>
      </c>
      <c r="C5" s="11" t="n">
        <v>80</v>
      </c>
      <c r="D5" s="7" t="inlineStr">
        <is>
          <t>4 paper</t>
        </is>
      </c>
      <c r="E5" s="7" t="inlineStr">
        <is>
          <t>a Tax Office</t>
        </is>
      </c>
      <c r="F5" s="7" t="inlineStr">
        <is>
          <t>Planning the late town.</t>
        </is>
      </c>
      <c r="G5" s="45" t="n"/>
    </row>
    <row r="6" ht="13.5" customHeight="1" s="46">
      <c r="A6" s="7" t="inlineStr">
        <is>
          <t>Master Builders</t>
        </is>
      </c>
      <c r="B6" s="7" t="inlineStr">
        <is>
          <t>Every building site rises a fifth faster.</t>
        </is>
      </c>
      <c r="C6" s="11" t="n">
        <v>120</v>
      </c>
      <c r="D6" s="7" t="inlineStr">
        <is>
          <t>4 books</t>
        </is>
      </c>
      <c r="E6" s="7" t="inlineStr">
        <is>
          <t>a Mason's Lodge</t>
        </is>
      </c>
      <c r="F6" s="7" t="n"/>
      <c r="G6" s="45" t="n"/>
    </row>
    <row r="7" ht="13.5" customHeight="1" s="46">
      <c r="A7" s="7" t="inlineStr">
        <is>
          <t>Agricultural Treatise</t>
        </is>
      </c>
      <c r="B7" s="7" t="inlineStr">
        <is>
          <t>Fields and orchards a tenth more.</t>
        </is>
      </c>
      <c r="C7" s="11" t="n">
        <v>120</v>
      </c>
      <c r="D7" s="7" t="inlineStr">
        <is>
          <t>4 books</t>
        </is>
      </c>
      <c r="E7" s="7" t="inlineStr">
        <is>
          <t>Beans learned</t>
        </is>
      </c>
      <c r="F7" s="7" t="n"/>
      <c r="G7" s="45" t="n"/>
    </row>
    <row r="8" ht="27.75" customHeight="1" s="46">
      <c r="A8" s="7" t="inlineStr">
        <is>
          <t>Hydraulic Engineering</t>
        </is>
      </c>
      <c r="B8" s="7" t="inlineStr">
        <is>
          <t>Every building beside water (mills, sawmill, bellows, paper mill) a fifth faster.</t>
        </is>
      </c>
      <c r="C8" s="11" t="n">
        <v>150</v>
      </c>
      <c r="D8" s="7" t="inlineStr">
        <is>
          <t>4 books, 6 tools</t>
        </is>
      </c>
      <c r="E8" s="7" t="inlineStr">
        <is>
          <t>two water buildings</t>
        </is>
      </c>
      <c r="F8" s="7" t="inlineStr">
        <is>
          <t>Rewards a river town.</t>
        </is>
      </c>
      <c r="G8" s="45" t="n"/>
    </row>
    <row r="9" ht="27.75" customHeight="1" s="46">
      <c r="A9" s="7" t="inlineStr">
        <is>
          <t>Codified Law</t>
        </is>
      </c>
      <c r="B9" s="7" t="inlineStr">
        <is>
          <t>Courthouses police half as many homes again; the late-Borough unhappiness grows slower.</t>
        </is>
      </c>
      <c r="C9" s="11" t="n">
        <v>150</v>
      </c>
      <c r="D9" s="7" t="inlineStr">
        <is>
          <t>6 paper</t>
        </is>
      </c>
      <c r="E9" s="7" t="inlineStr">
        <is>
          <t>a Courthouse</t>
        </is>
      </c>
      <c r="F9" s="7" t="n"/>
      <c r="G9" s="45" t="n"/>
    </row>
    <row r="10" ht="27.75" customHeight="1" s="46">
      <c r="A10" s="7" t="inlineStr">
        <is>
          <t>Navigation Charts</t>
        </is>
      </c>
      <c r="B10" s="7" t="inlineStr">
        <is>
          <t>Docks and the Royal Road trade a tenth better.</t>
        </is>
      </c>
      <c r="C10" s="11" t="n">
        <v>150</v>
      </c>
      <c r="D10" s="7" t="inlineStr">
        <is>
          <t>4 books</t>
        </is>
      </c>
      <c r="E10" s="7" t="inlineStr">
        <is>
          <t>a Dock or the Royal Road</t>
        </is>
      </c>
      <c r="F10" s="7" t="n"/>
      <c r="G10" s="45" t="n"/>
    </row>
    <row r="11" ht="27.75" customHeight="1" s="46">
      <c r="A11" s="7" t="inlineStr">
        <is>
          <t>School of Medicine</t>
        </is>
      </c>
      <c r="B11" s="7" t="inlineStr">
        <is>
          <t>Sickness events can always be stopped with medicine; homes use medicine a third slower.</t>
        </is>
      </c>
      <c r="C11" s="11" t="n">
        <v>150</v>
      </c>
      <c r="D11" s="7" t="inlineStr">
        <is>
          <t>6 books</t>
        </is>
      </c>
      <c r="E11" s="7" t="inlineStr">
        <is>
          <t>an Infirmary</t>
        </is>
      </c>
      <c r="F11" s="7" t="n"/>
      <c r="G11" s="45" t="n"/>
    </row>
    <row r="12" ht="27.75" customHeight="1" s="46">
      <c r="A12" s="7" t="inlineStr">
        <is>
          <t>Learned Treatise (repeatable)</t>
        </is>
      </c>
      <c r="B12" s="7" t="inlineStr">
        <is>
          <t>Each one written brings 25 prestige and +1 happiness for a year.</t>
        </is>
      </c>
      <c r="C12" s="11" t="n">
        <v>60</v>
      </c>
      <c r="D12" s="7" t="inlineStr">
        <is>
          <t>2 books</t>
        </is>
      </c>
      <c r="E12" s="7" t="inlineStr">
        <is>
          <t>—</t>
        </is>
      </c>
      <c r="F12" s="7" t="inlineStr">
        <is>
          <t>An endless sink once everything is learned.</t>
        </is>
      </c>
      <c r="G12" s="45" t="n"/>
    </row>
    <row r="14">
      <c r="A14" s="4" t="inlineStr">
        <is>
          <t>City projects (once each, the treatise once)</t>
        </is>
      </c>
      <c r="C14" s="4">
        <f>SUM(C5:C12)</f>
        <v/>
      </c>
    </row>
    <row r="15">
      <c r="A15" s="8" t="inlineStr">
        <is>
          <t>Left by the end of the City after steps 1-4 (4 Depth)</t>
        </is>
      </c>
      <c r="C15" s="37">
        <f>'4 Depth'!H82</f>
        <v/>
      </c>
    </row>
    <row r="16">
      <c r="A16" s="8" t="inlineStr">
        <is>
          <t>Left after the projects (spent on treatises)</t>
        </is>
      </c>
      <c r="C16" s="37">
        <f>C15-C14</f>
        <v/>
      </c>
    </row>
    <row r="18">
      <c r="A18" s="3" t="inlineStr">
        <is>
          <t>Projects need no rank (G6), but their price and the buildings they need keep them late.</t>
        </is>
      </c>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31.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2" customWidth="1" style="46" min="2" max="2"/>
    <col width="62" customWidth="1" style="46" min="3" max="3"/>
    <col width="40" customWidth="1" style="46" min="4" max="4"/>
    <col width="8.710000000000001" customWidth="1" style="46" min="5" max="26"/>
  </cols>
  <sheetData>
    <row r="1">
      <c r="A1" s="1" t="inlineStr">
        <is>
          <t>Step 7: decisions</t>
        </is>
      </c>
    </row>
    <row r="2">
      <c r="A2" s="3" t="inlineStr">
        <is>
          <t>My recommendation first; yours in the yellow column.</t>
        </is>
      </c>
    </row>
    <row r="4">
      <c r="A4" s="9" t="inlineStr">
        <is>
          <t>#</t>
        </is>
      </c>
      <c r="B4" s="9" t="inlineStr">
        <is>
          <t>Question</t>
        </is>
      </c>
      <c r="C4" s="9" t="inlineStr">
        <is>
          <t>My recommendation</t>
        </is>
      </c>
      <c r="D4" s="9" t="inlineStr">
        <is>
          <t>Your answer</t>
        </is>
      </c>
    </row>
    <row r="5" ht="42" customHeight="1" s="46">
      <c r="A5" s="7" t="n">
        <v>1</v>
      </c>
      <c r="B5" s="7" t="inlineStr">
        <is>
          <t>Tabs by craft (timber &amp; stone, farming &amp; food...) rather than by build-menu category or by kind?</t>
        </is>
      </c>
      <c r="C5" s="7" t="inlineStr">
        <is>
          <t>By craft: it reads like the production lines you designed in steps 1-4.</t>
        </is>
      </c>
      <c r="D5" s="45" t="inlineStr">
        <is>
          <t>Talked about, though if there is too few in each page can merge in extraction and maybe growing or something and the misc we discussed</t>
        </is>
      </c>
    </row>
    <row r="6" ht="27.75" customHeight="1" s="46">
      <c r="A6" s="7" t="n">
        <v>2</v>
      </c>
      <c r="B6" s="7" t="inlineStr">
        <is>
          <t>Cards hidden until their inputs can be had?</t>
        </is>
      </c>
      <c r="C6" s="7" t="inlineStr">
        <is>
          <t>Yes, with a counter "12 more to discover" per tab so nothing feels missing.</t>
        </is>
      </c>
      <c r="D6" s="45" t="inlineStr">
        <is>
          <t>No</t>
        </is>
      </c>
    </row>
    <row r="7" ht="27.75" customHeight="1" s="46">
      <c r="A7" s="7" t="n">
        <v>3</v>
      </c>
      <c r="B7" s="7" t="inlineStr">
        <is>
          <t>A "Suggested" strip for what the next home level needs.</t>
        </is>
      </c>
      <c r="C7" s="7" t="inlineStr">
        <is>
          <t>Yes.</t>
        </is>
      </c>
      <c r="D7" s="45" t="inlineStr">
        <is>
          <t>No</t>
        </is>
      </c>
    </row>
    <row r="8" ht="27.75" customHeight="1" s="46">
      <c r="A8" s="7" t="n">
        <v>4</v>
      </c>
      <c r="B8" s="7" t="inlineStr">
        <is>
          <t>City projects as the late sink, with one repeatable treatise.</t>
        </is>
      </c>
      <c r="C8" s="7" t="inlineStr">
        <is>
          <t>Yes; the list is a first pass, add or cut freely.</t>
        </is>
      </c>
      <c r="D8" s="45" t="inlineStr">
        <is>
          <t>No, let's rebalance knowledge gain/cost so a player only completes all techs a few years after city. As an easy solution for now: all current knowledge gain is divided by 8, gain 1 knowledge or 2 when reaching city (or 1 village, 1 city)</t>
        </is>
      </c>
    </row>
    <row r="9" ht="42" customHeight="1" s="46">
      <c r="A9" s="7" t="n">
        <v>5</v>
      </c>
      <c r="B9" s="7" t="inlineStr">
        <is>
          <t>Silver Mine: Deep Veins only, or could the Great Survey also reveal one vein for any town?</t>
        </is>
      </c>
      <c r="C9" s="7" t="inlineStr">
        <is>
          <t>Deep Veins only: it keeps the charter special.</t>
        </is>
      </c>
      <c r="D9" s="45" t="inlineStr">
        <is>
          <t>No GP</t>
        </is>
      </c>
    </row>
    <row r="10" ht="27.75" customHeight="1" s="46">
      <c r="A10" s="7" t="n">
        <v>6</v>
      </c>
      <c r="B10" s="7" t="inlineStr">
        <is>
          <t>Deer herds (Royal Hunt): wildlife like the bear, that hunters follow?</t>
        </is>
      </c>
      <c r="C10" s="7" t="inlineStr">
        <is>
          <t>Yes: a hunter near a herd catches more.</t>
        </is>
      </c>
      <c r="D10" s="45" t="inlineStr">
        <is>
          <t>Don't hunters already have to go where the wildlife is to hunt?</t>
        </is>
      </c>
    </row>
    <row r="11" ht="55.5" customHeight="1" s="46">
      <c r="A11" s="7" t="n">
        <v>7</v>
      </c>
      <c r="B11" s="7" t="inlineStr">
        <is>
          <t>After this, step 8: the final tuning. Shall I start building the rework branch in parallel, from the decisions so far?</t>
        </is>
      </c>
      <c r="C11" s="7" t="inlineStr">
        <is>
          <t>Yes: the data (unlock table, costs, upkeep, recipes) can go in while you look at the numbers, and the balance pass runs on the real game.</t>
        </is>
      </c>
      <c r="D11" s="45" t="inlineStr">
        <is>
          <t>Go ahead and build, balance, test, design everything new. When you are happy with it, merge with main. Then review drawings, work on the remade tutorial and add in everypage a a small symbol to call Fingamaboblineus to explain the panel over.</t>
        </is>
      </c>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xl/worksheets/sheet32.xml><?xml version="1.0" encoding="utf-8"?>
<worksheet xmlns="http://schemas.openxmlformats.org/spreadsheetml/2006/main">
  <sheetPr>
    <outlinePr summaryBelow="1" summaryRight="1"/>
    <pageSetUpPr/>
  </sheetPr>
  <dimension ref="A1:D22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6" min="1" max="1"/>
    <col width="52" customWidth="1" style="46" min="2" max="2"/>
    <col width="60" customWidth="1" style="46" min="3" max="3"/>
    <col width="40" customWidth="1" style="46" min="4" max="4"/>
    <col width="8.57" customWidth="1" style="46" min="5" max="6"/>
  </cols>
  <sheetData>
    <row r="1" ht="9" customHeight="1" s="46">
      <c r="A1" s="1" t="inlineStr">
        <is>
          <t>Decisions before building</t>
        </is>
      </c>
      <c r="B1" s="2" t="n"/>
      <c r="C1" s="2" t="n"/>
      <c r="D1" s="2" t="n"/>
    </row>
    <row r="2" ht="14.25" customHeight="1" s="46">
      <c r="A2" s="3" t="inlineStr">
        <is>
          <t>My recommendation is first; write yours in the yellow column.</t>
        </is>
      </c>
      <c r="B2" s="2" t="n"/>
      <c r="C2" s="2" t="n"/>
      <c r="D2" s="2" t="n"/>
    </row>
    <row r="3" ht="14.25" customHeight="1" s="46">
      <c r="A3" s="2" t="n"/>
      <c r="B3" s="2" t="n"/>
      <c r="C3" s="2" t="n"/>
      <c r="D3" s="2" t="n"/>
    </row>
    <row r="4" ht="14.25" customHeight="1" s="46">
      <c r="A4" s="9" t="inlineStr">
        <is>
          <t>#</t>
        </is>
      </c>
      <c r="B4" s="9" t="inlineStr">
        <is>
          <t>Question</t>
        </is>
      </c>
      <c r="C4" s="9" t="inlineStr">
        <is>
          <t>My recommendation</t>
        </is>
      </c>
      <c r="D4" s="9" t="inlineStr">
        <is>
          <t>Your answer</t>
        </is>
      </c>
    </row>
    <row r="5" ht="39" customHeight="1" s="46">
      <c r="A5" s="7" t="n">
        <v>1</v>
      </c>
      <c r="B5" s="7" t="inlineStr">
        <is>
          <t>Is knowledge spent on each unlock (like prestige), or a running total that opens things as it passes thresholds?</t>
        </is>
      </c>
      <c r="C5" s="7" t="inlineStr">
        <is>
          <t>Spent. Thresholds would open everything in the same order every game; spending makes each unlock a choice.</t>
        </is>
      </c>
      <c r="D5" s="45" t="inlineStr">
        <is>
          <t>Spent on each unlock</t>
        </is>
      </c>
    </row>
    <row r="6" ht="25.5" customHeight="1" s="46">
      <c r="A6" s="7" t="n">
        <v>2</v>
      </c>
      <c r="B6" s="7" t="inlineStr">
        <is>
          <t>Starting set as in G10?</t>
        </is>
      </c>
      <c r="C6" s="7" t="inlineStr">
        <is>
          <t>Yes. Forester, sawmill and fields follow within the first year for a few knowledge.</t>
        </is>
      </c>
      <c r="D6" s="45" t="inlineStr">
        <is>
          <t>What is G10?</t>
        </is>
      </c>
    </row>
    <row r="7" ht="25.5" customHeight="1" s="46">
      <c r="A7" s="7" t="n">
        <v>3</v>
      </c>
      <c r="B7" s="7" t="inlineStr">
        <is>
          <t>Upkeep rule G15: woodcutters, quarries and farms wear wood parts instead of tools until the Town.</t>
        </is>
      </c>
      <c r="C7" s="7" t="inlineStr">
        <is>
          <t>Yes: today they wear tools nothing in a Village can make.</t>
        </is>
      </c>
      <c r="D7" s="45" t="inlineStr">
        <is>
          <t>Responded in others</t>
        </is>
      </c>
    </row>
    <row r="8" ht="25.5" customHeight="1" s="46">
      <c r="A8" s="7" t="n">
        <v>4</v>
      </c>
      <c r="B8" s="7" t="inlineStr">
        <is>
          <t>The wooden church moves to Village rank, and Timber Houses give a little knowledge (0 Knowledge).</t>
        </is>
      </c>
      <c r="C8" s="7" t="inlineStr">
        <is>
          <t>Yes: otherwise a Village earns almost no knowledge. Final call in step 2 (civic).</t>
        </is>
      </c>
      <c r="D8" s="45" t="inlineStr">
        <is>
          <t>Yes</t>
        </is>
      </c>
    </row>
    <row r="9" ht="25.5" customHeight="1" s="46">
      <c r="A9" s="7" t="n">
        <v>5</v>
      </c>
      <c r="B9" s="7" t="inlineStr">
        <is>
          <t>A new 'Elders' lore' trickle from the camp and manor hall (0.5 a month).</t>
        </is>
      </c>
      <c r="C9" s="7" t="inlineStr">
        <is>
          <t>Yes: the Hamlet needs something to learn with.</t>
        </is>
      </c>
      <c r="D9" s="45" t="inlineStr">
        <is>
          <t>Good</t>
        </is>
      </c>
    </row>
    <row r="10" ht="25.5" customHeight="1" s="46">
      <c r="A10" s="7" t="n">
        <v>6</v>
      </c>
      <c r="B10" s="7" t="inlineStr">
        <is>
          <t>The bloomery burns charcoal instead of firewood.</t>
        </is>
      </c>
      <c r="C10" s="7" t="inlineStr">
        <is>
          <t>Yes: historically right, and charcoal gets a second use beside glass.</t>
        </is>
      </c>
      <c r="D10" s="45" t="inlineStr">
        <is>
          <t>We will always use fuel, charcoal will just be more efficient</t>
        </is>
      </c>
    </row>
    <row r="11" ht="14.25" customHeight="1" s="46">
      <c r="A11" s="7" t="n">
        <v>7</v>
      </c>
      <c r="B11" s="7" t="inlineStr">
        <is>
          <t>Drop oats (no source, no use).</t>
        </is>
      </c>
      <c r="C11" s="7" t="inlineStr">
        <is>
          <t>Yes.</t>
        </is>
      </c>
      <c r="D11" s="45" t="inlineStr">
        <is>
          <t>Yes</t>
        </is>
      </c>
    </row>
    <row r="12" ht="39" customHeight="1" s="46">
      <c r="A12" s="7" t="n">
        <v>8</v>
      </c>
      <c r="B12" s="7" t="inlineStr">
        <is>
          <t>Conditions count everything a town has ever produced, kept as a running tally per good (also good for a stats screen).</t>
        </is>
      </c>
      <c r="C12" s="7" t="inlineStr">
        <is>
          <t>Yes.</t>
        </is>
      </c>
      <c r="D12" s="45" t="inlineStr">
        <is>
          <t>Yes, but modifyied uses as said</t>
        </is>
      </c>
    </row>
    <row r="13" ht="39" customHeight="1" s="46">
      <c r="A13" s="7" t="n">
        <v>9</v>
      </c>
      <c r="B13" s="7" t="inlineStr">
        <is>
          <t>How should unlocks be shown before the tree exists?</t>
        </is>
      </c>
      <c r="C13" s="7" t="inlineStr">
        <is>
          <t>A "Learning" panel listing what can be learned now, its cost and condition; locked cards in the build menu show what they wait for.</t>
        </is>
      </c>
      <c r="D13" s="45" t="inlineStr">
        <is>
          <t>I think it has to be a full panel, with one screen for each category of construction (food/civil/industry/...) or some other division we see fit (construction/choices/ extensions/... Or woodwork/metalwork/farming/...)</t>
        </is>
      </c>
    </row>
    <row r="14" ht="14.25" customHeight="1" s="46">
      <c r="A14" s="2" t="n"/>
      <c r="B14" s="2" t="n"/>
      <c r="C14" s="2" t="n"/>
      <c r="D14" s="2" t="n"/>
    </row>
    <row r="15" ht="14.25" customHeight="1" s="46">
      <c r="A15" s="2" t="n"/>
      <c r="B15" s="2" t="n"/>
      <c r="C15" s="2" t="n"/>
      <c r="D15" s="2" t="n"/>
    </row>
    <row r="16" ht="14.25" customHeight="1" s="46">
      <c r="A16" s="2" t="n"/>
      <c r="B16" s="2" t="n"/>
      <c r="C16" s="2" t="n"/>
      <c r="D16" s="2" t="n"/>
    </row>
    <row r="17" ht="14.25" customHeight="1" s="46">
      <c r="A17" s="2" t="n"/>
      <c r="B17" s="2" t="n"/>
      <c r="C17" s="2" t="n"/>
      <c r="D17" s="2" t="n"/>
    </row>
    <row r="18" ht="14.25" customHeight="1" s="46">
      <c r="A18" s="2" t="n"/>
      <c r="B18" s="2" t="n"/>
      <c r="C18" s="2" t="n"/>
      <c r="D18" s="2" t="n"/>
    </row>
    <row r="19" ht="14.25" customHeight="1" s="46">
      <c r="A19" s="2" t="n"/>
      <c r="B19" s="2" t="n"/>
      <c r="C19" s="2" t="n"/>
      <c r="D19" s="2" t="n"/>
    </row>
    <row r="20" ht="14.25" customHeight="1" s="46">
      <c r="A20" s="2" t="n"/>
      <c r="B20" s="2" t="n"/>
      <c r="C20" s="2" t="n"/>
      <c r="D20" s="2" t="n"/>
    </row>
    <row r="21" ht="14.25" customHeight="1" s="46">
      <c r="A21" s="2" t="n"/>
      <c r="B21" s="2" t="n"/>
      <c r="C21" s="2" t="n"/>
      <c r="D21" s="2" t="n"/>
    </row>
    <row r="22" ht="14.25" customHeight="1" s="46">
      <c r="A22" s="2" t="n"/>
      <c r="B22" s="2" t="n"/>
      <c r="C22" s="2" t="n"/>
      <c r="D22" s="2" t="n"/>
    </row>
    <row r="23" ht="14.25" customHeight="1" s="46">
      <c r="A23" s="2" t="n"/>
      <c r="B23" s="2" t="n"/>
      <c r="C23" s="2" t="n"/>
      <c r="D23" s="2" t="n"/>
    </row>
    <row r="24" ht="14.25" customHeight="1" s="46">
      <c r="A24" s="2" t="n"/>
      <c r="B24" s="2" t="n"/>
      <c r="C24" s="2" t="n"/>
      <c r="D24" s="2" t="n"/>
    </row>
    <row r="25" ht="14.25" customHeight="1" s="46">
      <c r="A25" s="2" t="n"/>
      <c r="B25" s="2" t="n"/>
      <c r="C25" s="2" t="n"/>
      <c r="D25" s="2" t="n"/>
    </row>
    <row r="26" ht="14.25" customHeight="1" s="46">
      <c r="A26" s="2" t="n"/>
      <c r="B26" s="2" t="n"/>
      <c r="C26" s="2" t="n"/>
      <c r="D26" s="2" t="n"/>
    </row>
    <row r="27" ht="14.25" customHeight="1" s="46">
      <c r="A27" s="2" t="n"/>
      <c r="B27" s="2" t="n"/>
      <c r="C27" s="2" t="n"/>
      <c r="D27" s="2" t="n"/>
    </row>
    <row r="28" ht="14.25" customHeight="1" s="46">
      <c r="A28" s="2" t="n"/>
      <c r="B28" s="2" t="n"/>
      <c r="C28" s="2" t="n"/>
      <c r="D28" s="2" t="n"/>
    </row>
    <row r="29" ht="14.25" customHeight="1" s="46">
      <c r="A29" s="2" t="n"/>
      <c r="B29" s="2" t="n"/>
      <c r="C29" s="2" t="n"/>
      <c r="D29" s="2" t="n"/>
    </row>
    <row r="30" ht="14.25" customHeight="1" s="46">
      <c r="A30" s="2" t="n"/>
      <c r="B30" s="2" t="n"/>
      <c r="C30" s="2" t="n"/>
      <c r="D30" s="2" t="n"/>
    </row>
    <row r="31" ht="14.25" customHeight="1" s="46">
      <c r="A31" s="2" t="n"/>
      <c r="B31" s="2" t="n"/>
      <c r="C31" s="2" t="n"/>
      <c r="D31" s="2" t="n"/>
    </row>
    <row r="32" ht="14.25" customHeight="1" s="46">
      <c r="A32" s="2" t="n"/>
      <c r="B32" s="2" t="n"/>
      <c r="C32" s="2" t="n"/>
      <c r="D32" s="2" t="n"/>
    </row>
    <row r="33" ht="14.25" customHeight="1" s="46">
      <c r="A33" s="2" t="n"/>
      <c r="B33" s="2" t="n"/>
      <c r="C33" s="2" t="n"/>
      <c r="D33" s="2" t="n"/>
    </row>
    <row r="34" ht="14.25" customHeight="1" s="46">
      <c r="A34" s="2" t="n"/>
      <c r="B34" s="2" t="n"/>
      <c r="C34" s="2" t="n"/>
      <c r="D34" s="2" t="n"/>
    </row>
    <row r="35" ht="14.25" customHeight="1" s="46">
      <c r="A35" s="2" t="n"/>
      <c r="B35" s="2" t="n"/>
      <c r="C35" s="2" t="n"/>
      <c r="D35" s="2" t="n"/>
    </row>
    <row r="36" ht="14.25" customHeight="1" s="46">
      <c r="A36" s="2" t="n"/>
      <c r="B36" s="2" t="n"/>
      <c r="C36" s="2" t="n"/>
      <c r="D36" s="2" t="n"/>
    </row>
    <row r="37" ht="14.25" customHeight="1" s="46">
      <c r="A37" s="2" t="n"/>
      <c r="B37" s="2" t="n"/>
      <c r="C37" s="2" t="n"/>
      <c r="D37" s="2" t="n"/>
    </row>
    <row r="38" ht="14.25" customHeight="1" s="46">
      <c r="A38" s="2" t="n"/>
      <c r="B38" s="2" t="n"/>
      <c r="C38" s="2" t="n"/>
      <c r="D38" s="2" t="n"/>
    </row>
    <row r="39" ht="14.25" customHeight="1" s="46">
      <c r="A39" s="2" t="n"/>
      <c r="B39" s="2" t="n"/>
      <c r="C39" s="2" t="n"/>
      <c r="D39" s="2" t="n"/>
    </row>
    <row r="40" ht="14.25" customHeight="1" s="46">
      <c r="A40" s="2" t="n"/>
      <c r="B40" s="2" t="n"/>
      <c r="C40" s="2" t="n"/>
      <c r="D40" s="2" t="n"/>
    </row>
    <row r="41" ht="14.25" customHeight="1" s="46">
      <c r="A41" s="2" t="n"/>
      <c r="B41" s="2" t="n"/>
      <c r="C41" s="2" t="n"/>
      <c r="D41" s="2" t="n"/>
    </row>
    <row r="42" ht="14.25" customHeight="1" s="46">
      <c r="A42" s="2" t="n"/>
      <c r="B42" s="2" t="n"/>
      <c r="C42" s="2" t="n"/>
      <c r="D42" s="2" t="n"/>
    </row>
    <row r="43" ht="14.25" customHeight="1" s="46">
      <c r="A43" s="2" t="n"/>
      <c r="B43" s="2" t="n"/>
      <c r="C43" s="2" t="n"/>
      <c r="D43" s="2" t="n"/>
    </row>
    <row r="44" ht="14.25" customHeight="1" s="46">
      <c r="A44" s="2" t="n"/>
      <c r="B44" s="2" t="n"/>
      <c r="C44" s="2" t="n"/>
      <c r="D44" s="2" t="n"/>
    </row>
    <row r="45" ht="14.25" customHeight="1" s="46">
      <c r="A45" s="2" t="n"/>
      <c r="B45" s="2" t="n"/>
      <c r="C45" s="2" t="n"/>
      <c r="D45" s="2" t="n"/>
    </row>
    <row r="46" ht="14.25" customHeight="1" s="46">
      <c r="A46" s="2" t="n"/>
      <c r="B46" s="2" t="n"/>
      <c r="C46" s="2" t="n"/>
      <c r="D46" s="2" t="n"/>
    </row>
    <row r="47" ht="14.25" customHeight="1" s="46">
      <c r="A47" s="2" t="n"/>
      <c r="B47" s="2" t="n"/>
      <c r="C47" s="2" t="n"/>
      <c r="D47" s="2" t="n"/>
    </row>
    <row r="48" ht="14.25" customHeight="1" s="46">
      <c r="A48" s="2" t="n"/>
      <c r="B48" s="2" t="n"/>
      <c r="C48" s="2" t="n"/>
      <c r="D48" s="2" t="n"/>
    </row>
    <row r="49" ht="14.25" customHeight="1" s="46">
      <c r="A49" s="2" t="n"/>
      <c r="B49" s="2" t="n"/>
      <c r="C49" s="2" t="n"/>
      <c r="D49" s="2" t="n"/>
    </row>
    <row r="50" ht="14.25" customHeight="1" s="46">
      <c r="A50" s="2" t="n"/>
      <c r="B50" s="2" t="n"/>
      <c r="C50" s="2" t="n"/>
      <c r="D50" s="2" t="n"/>
    </row>
    <row r="51" ht="14.25" customHeight="1" s="46">
      <c r="A51" s="2" t="n"/>
      <c r="B51" s="2" t="n"/>
      <c r="C51" s="2" t="n"/>
      <c r="D51" s="2" t="n"/>
    </row>
    <row r="52" ht="14.25" customHeight="1" s="46">
      <c r="A52" s="2" t="n"/>
      <c r="B52" s="2" t="n"/>
      <c r="C52" s="2" t="n"/>
      <c r="D52" s="2" t="n"/>
    </row>
    <row r="53" ht="14.25" customHeight="1" s="46">
      <c r="A53" s="2" t="n"/>
      <c r="B53" s="2" t="n"/>
      <c r="C53" s="2" t="n"/>
      <c r="D53" s="2" t="n"/>
    </row>
    <row r="54" ht="14.25" customHeight="1" s="46">
      <c r="A54" s="2" t="n"/>
      <c r="B54" s="2" t="n"/>
      <c r="C54" s="2" t="n"/>
      <c r="D54" s="2" t="n"/>
    </row>
    <row r="55" ht="14.25" customHeight="1" s="46">
      <c r="A55" s="2" t="n"/>
      <c r="B55" s="2" t="n"/>
      <c r="C55" s="2" t="n"/>
      <c r="D55" s="2" t="n"/>
    </row>
    <row r="56" ht="14.25" customHeight="1" s="46">
      <c r="A56" s="2" t="n"/>
      <c r="B56" s="2" t="n"/>
      <c r="C56" s="2" t="n"/>
      <c r="D56" s="2" t="n"/>
    </row>
    <row r="57" ht="14.25" customHeight="1" s="46">
      <c r="A57" s="2" t="n"/>
      <c r="B57" s="2" t="n"/>
      <c r="C57" s="2" t="n"/>
      <c r="D57" s="2" t="n"/>
    </row>
    <row r="58" ht="14.25" customHeight="1" s="46">
      <c r="A58" s="2" t="n"/>
      <c r="B58" s="2" t="n"/>
      <c r="C58" s="2" t="n"/>
      <c r="D58" s="2" t="n"/>
    </row>
    <row r="59" ht="14.25" customHeight="1" s="46">
      <c r="A59" s="2" t="n"/>
      <c r="B59" s="2" t="n"/>
      <c r="C59" s="2" t="n"/>
      <c r="D59" s="2" t="n"/>
    </row>
    <row r="60" ht="14.25" customHeight="1" s="46">
      <c r="A60" s="2" t="n"/>
      <c r="B60" s="2" t="n"/>
      <c r="C60" s="2" t="n"/>
      <c r="D60" s="2" t="n"/>
    </row>
    <row r="61" ht="14.25" customHeight="1" s="46">
      <c r="A61" s="2" t="n"/>
      <c r="B61" s="2" t="n"/>
      <c r="C61" s="2" t="n"/>
      <c r="D61" s="2" t="n"/>
    </row>
    <row r="62" ht="14.25" customHeight="1" s="46">
      <c r="A62" s="2" t="n"/>
      <c r="B62" s="2" t="n"/>
      <c r="C62" s="2" t="n"/>
      <c r="D62" s="2" t="n"/>
    </row>
    <row r="63" ht="14.25" customHeight="1" s="46">
      <c r="A63" s="2" t="n"/>
      <c r="B63" s="2" t="n"/>
      <c r="C63" s="2" t="n"/>
      <c r="D63" s="2" t="n"/>
    </row>
    <row r="64" ht="14.25" customHeight="1" s="46">
      <c r="A64" s="2" t="n"/>
      <c r="B64" s="2" t="n"/>
      <c r="C64" s="2" t="n"/>
      <c r="D64" s="2" t="n"/>
    </row>
    <row r="65" ht="14.25" customHeight="1" s="46">
      <c r="A65" s="2" t="n"/>
      <c r="B65" s="2" t="n"/>
      <c r="C65" s="2" t="n"/>
      <c r="D65" s="2" t="n"/>
    </row>
    <row r="66" ht="14.25" customHeight="1" s="46">
      <c r="A66" s="2" t="n"/>
      <c r="B66" s="2" t="n"/>
      <c r="C66" s="2" t="n"/>
      <c r="D66" s="2" t="n"/>
    </row>
    <row r="67" ht="14.25" customHeight="1" s="46">
      <c r="A67" s="2" t="n"/>
      <c r="B67" s="2" t="n"/>
      <c r="C67" s="2" t="n"/>
      <c r="D67" s="2" t="n"/>
    </row>
    <row r="68" ht="14.25" customHeight="1" s="46">
      <c r="A68" s="2" t="n"/>
      <c r="B68" s="2" t="n"/>
      <c r="C68" s="2" t="n"/>
      <c r="D68" s="2" t="n"/>
    </row>
    <row r="69" ht="14.25" customHeight="1" s="46">
      <c r="A69" s="2" t="n"/>
      <c r="B69" s="2" t="n"/>
      <c r="C69" s="2" t="n"/>
      <c r="D69" s="2" t="n"/>
    </row>
    <row r="70" ht="14.25" customHeight="1" s="46">
      <c r="A70" s="2" t="n"/>
      <c r="B70" s="2" t="n"/>
      <c r="C70" s="2" t="n"/>
      <c r="D70" s="2" t="n"/>
    </row>
    <row r="71" ht="14.25" customHeight="1" s="46">
      <c r="A71" s="2" t="n"/>
      <c r="B71" s="2" t="n"/>
      <c r="C71" s="2" t="n"/>
      <c r="D71" s="2" t="n"/>
    </row>
    <row r="72" ht="14.25" customHeight="1" s="46">
      <c r="A72" s="2" t="n"/>
      <c r="B72" s="2" t="n"/>
      <c r="C72" s="2" t="n"/>
      <c r="D72" s="2" t="n"/>
    </row>
    <row r="73" ht="14.25" customHeight="1" s="46">
      <c r="A73" s="2" t="n"/>
      <c r="B73" s="2" t="n"/>
      <c r="C73" s="2" t="n"/>
      <c r="D73" s="2" t="n"/>
    </row>
    <row r="74" ht="14.25" customHeight="1" s="46">
      <c r="A74" s="2" t="n"/>
      <c r="B74" s="2" t="n"/>
      <c r="C74" s="2" t="n"/>
      <c r="D74" s="2" t="n"/>
    </row>
    <row r="75" ht="14.25" customHeight="1" s="46">
      <c r="A75" s="2" t="n"/>
      <c r="B75" s="2" t="n"/>
      <c r="C75" s="2" t="n"/>
      <c r="D75" s="2" t="n"/>
    </row>
    <row r="76" ht="14.25" customHeight="1" s="46">
      <c r="A76" s="2" t="n"/>
      <c r="B76" s="2" t="n"/>
      <c r="C76" s="2" t="n"/>
      <c r="D76" s="2" t="n"/>
    </row>
    <row r="77" ht="14.25" customHeight="1" s="46">
      <c r="A77" s="2" t="n"/>
      <c r="B77" s="2" t="n"/>
      <c r="C77" s="2" t="n"/>
      <c r="D77" s="2" t="n"/>
    </row>
    <row r="78" ht="14.25" customHeight="1" s="46">
      <c r="A78" s="2" t="n"/>
      <c r="B78" s="2" t="n"/>
      <c r="C78" s="2" t="n"/>
      <c r="D78" s="2" t="n"/>
    </row>
    <row r="79" ht="14.25" customHeight="1" s="46">
      <c r="A79" s="2" t="n"/>
      <c r="B79" s="2" t="n"/>
      <c r="C79" s="2" t="n"/>
      <c r="D79" s="2" t="n"/>
    </row>
    <row r="80" ht="14.25" customHeight="1" s="46">
      <c r="A80" s="2" t="n"/>
      <c r="B80" s="2" t="n"/>
      <c r="C80" s="2" t="n"/>
      <c r="D80" s="2" t="n"/>
    </row>
    <row r="81" ht="14.25" customHeight="1" s="46">
      <c r="A81" s="2" t="n"/>
      <c r="B81" s="2" t="n"/>
      <c r="C81" s="2" t="n"/>
      <c r="D81" s="2" t="n"/>
    </row>
    <row r="82" ht="14.25" customHeight="1" s="46">
      <c r="A82" s="2" t="n"/>
      <c r="B82" s="2" t="n"/>
      <c r="C82" s="2" t="n"/>
      <c r="D82" s="2" t="n"/>
    </row>
    <row r="83" ht="14.25" customHeight="1" s="46">
      <c r="A83" s="2" t="n"/>
      <c r="B83" s="2" t="n"/>
      <c r="C83" s="2" t="n"/>
      <c r="D83" s="2" t="n"/>
    </row>
    <row r="84" ht="14.25" customHeight="1" s="46">
      <c r="A84" s="2" t="n"/>
      <c r="B84" s="2" t="n"/>
      <c r="C84" s="2" t="n"/>
      <c r="D84" s="2" t="n"/>
    </row>
    <row r="85" ht="14.25" customHeight="1" s="46">
      <c r="A85" s="2" t="n"/>
      <c r="B85" s="2" t="n"/>
      <c r="C85" s="2" t="n"/>
      <c r="D85" s="2" t="n"/>
    </row>
    <row r="86" ht="14.25" customHeight="1" s="46">
      <c r="A86" s="2" t="n"/>
      <c r="B86" s="2" t="n"/>
      <c r="C86" s="2" t="n"/>
      <c r="D86" s="2" t="n"/>
    </row>
    <row r="87" ht="14.25" customHeight="1" s="46">
      <c r="A87" s="2" t="n"/>
      <c r="B87" s="2" t="n"/>
      <c r="C87" s="2" t="n"/>
      <c r="D87" s="2" t="n"/>
    </row>
    <row r="88" ht="14.25" customHeight="1" s="46">
      <c r="A88" s="2" t="n"/>
      <c r="B88" s="2" t="n"/>
      <c r="C88" s="2" t="n"/>
      <c r="D88" s="2" t="n"/>
    </row>
    <row r="89" ht="14.25" customHeight="1" s="46">
      <c r="A89" s="2" t="n"/>
      <c r="B89" s="2" t="n"/>
      <c r="C89" s="2" t="n"/>
      <c r="D89" s="2" t="n"/>
    </row>
    <row r="90" ht="14.25" customHeight="1" s="46">
      <c r="A90" s="2" t="n"/>
      <c r="B90" s="2" t="n"/>
      <c r="C90" s="2" t="n"/>
      <c r="D90" s="2" t="n"/>
    </row>
    <row r="91" ht="14.25" customHeight="1" s="46">
      <c r="A91" s="2" t="n"/>
      <c r="B91" s="2" t="n"/>
      <c r="C91" s="2" t="n"/>
      <c r="D91" s="2" t="n"/>
    </row>
    <row r="92" ht="14.25" customHeight="1" s="46">
      <c r="A92" s="2" t="n"/>
      <c r="B92" s="2" t="n"/>
      <c r="C92" s="2" t="n"/>
      <c r="D92" s="2" t="n"/>
    </row>
    <row r="93" ht="14.25" customHeight="1" s="46">
      <c r="A93" s="2" t="n"/>
      <c r="B93" s="2" t="n"/>
      <c r="C93" s="2" t="n"/>
      <c r="D93" s="2" t="n"/>
    </row>
    <row r="94" ht="14.25" customHeight="1" s="46">
      <c r="A94" s="2" t="n"/>
      <c r="B94" s="2" t="n"/>
      <c r="C94" s="2" t="n"/>
      <c r="D94" s="2" t="n"/>
    </row>
    <row r="95" ht="14.25" customHeight="1" s="46">
      <c r="A95" s="2" t="n"/>
      <c r="B95" s="2" t="n"/>
      <c r="C95" s="2" t="n"/>
      <c r="D95" s="2" t="n"/>
    </row>
    <row r="96" ht="14.25" customHeight="1" s="46">
      <c r="A96" s="2" t="n"/>
      <c r="B96" s="2" t="n"/>
      <c r="C96" s="2" t="n"/>
      <c r="D96" s="2" t="n"/>
    </row>
    <row r="97" ht="14.25" customHeight="1" s="46">
      <c r="A97" s="2" t="n"/>
      <c r="B97" s="2" t="n"/>
      <c r="C97" s="2" t="n"/>
      <c r="D97" s="2" t="n"/>
    </row>
    <row r="98" ht="14.25" customHeight="1" s="46">
      <c r="A98" s="2" t="n"/>
      <c r="B98" s="2" t="n"/>
      <c r="C98" s="2" t="n"/>
      <c r="D98" s="2" t="n"/>
    </row>
    <row r="99" ht="14.25" customHeight="1" s="46">
      <c r="A99" s="2" t="n"/>
      <c r="B99" s="2" t="n"/>
      <c r="C99" s="2" t="n"/>
      <c r="D99" s="2" t="n"/>
    </row>
    <row r="100" ht="14.25" customHeight="1" s="46">
      <c r="A100" s="2" t="n"/>
      <c r="B100" s="2" t="n"/>
      <c r="C100" s="2" t="n"/>
      <c r="D100" s="2" t="n"/>
    </row>
    <row r="101" ht="14.25" customHeight="1" s="46">
      <c r="A101" s="2" t="n"/>
      <c r="B101" s="2" t="n"/>
      <c r="C101" s="2" t="n"/>
      <c r="D101" s="2" t="n"/>
    </row>
    <row r="102" ht="14.25" customHeight="1" s="46">
      <c r="A102" s="2" t="n"/>
      <c r="B102" s="2" t="n"/>
      <c r="C102" s="2" t="n"/>
      <c r="D102" s="2" t="n"/>
    </row>
    <row r="103" ht="14.25" customHeight="1" s="46">
      <c r="A103" s="2" t="n"/>
      <c r="B103" s="2" t="n"/>
      <c r="C103" s="2" t="n"/>
      <c r="D103" s="2" t="n"/>
    </row>
    <row r="104" ht="14.25" customHeight="1" s="46">
      <c r="A104" s="2" t="n"/>
      <c r="B104" s="2" t="n"/>
      <c r="C104" s="2" t="n"/>
      <c r="D104" s="2" t="n"/>
    </row>
    <row r="105" ht="14.25" customHeight="1" s="46">
      <c r="A105" s="2" t="n"/>
      <c r="B105" s="2" t="n"/>
      <c r="C105" s="2" t="n"/>
      <c r="D105" s="2" t="n"/>
    </row>
    <row r="106" ht="14.25" customHeight="1" s="46">
      <c r="A106" s="2" t="n"/>
      <c r="B106" s="2" t="n"/>
      <c r="C106" s="2" t="n"/>
      <c r="D106" s="2" t="n"/>
    </row>
    <row r="107" ht="14.25" customHeight="1" s="46">
      <c r="A107" s="2" t="n"/>
      <c r="B107" s="2" t="n"/>
      <c r="C107" s="2" t="n"/>
      <c r="D107" s="2" t="n"/>
    </row>
    <row r="108" ht="14.25" customHeight="1" s="46">
      <c r="A108" s="2" t="n"/>
      <c r="B108" s="2" t="n"/>
      <c r="C108" s="2" t="n"/>
      <c r="D108" s="2" t="n"/>
    </row>
    <row r="109" ht="14.25" customHeight="1" s="46">
      <c r="A109" s="2" t="n"/>
      <c r="B109" s="2" t="n"/>
      <c r="C109" s="2" t="n"/>
      <c r="D109" s="2" t="n"/>
    </row>
    <row r="110" ht="14.25" customHeight="1" s="46">
      <c r="A110" s="2" t="n"/>
      <c r="B110" s="2" t="n"/>
      <c r="C110" s="2" t="n"/>
      <c r="D110" s="2" t="n"/>
    </row>
    <row r="111" ht="14.25" customHeight="1" s="46">
      <c r="A111" s="2" t="n"/>
      <c r="B111" s="2" t="n"/>
      <c r="C111" s="2" t="n"/>
      <c r="D111" s="2" t="n"/>
    </row>
    <row r="112" ht="14.25" customHeight="1" s="46">
      <c r="A112" s="2" t="n"/>
      <c r="B112" s="2" t="n"/>
      <c r="C112" s="2" t="n"/>
      <c r="D112" s="2" t="n"/>
    </row>
    <row r="113" ht="14.25" customHeight="1" s="46">
      <c r="A113" s="2" t="n"/>
      <c r="B113" s="2" t="n"/>
      <c r="C113" s="2" t="n"/>
      <c r="D113" s="2" t="n"/>
    </row>
    <row r="114" ht="14.25" customHeight="1" s="46">
      <c r="A114" s="2" t="n"/>
      <c r="B114" s="2" t="n"/>
      <c r="C114" s="2" t="n"/>
      <c r="D114" s="2" t="n"/>
    </row>
    <row r="115" ht="14.25" customHeight="1" s="46">
      <c r="A115" s="2" t="n"/>
      <c r="B115" s="2" t="n"/>
      <c r="C115" s="2" t="n"/>
      <c r="D115" s="2" t="n"/>
    </row>
    <row r="116" ht="14.25" customHeight="1" s="46">
      <c r="A116" s="2" t="n"/>
      <c r="B116" s="2" t="n"/>
      <c r="C116" s="2" t="n"/>
      <c r="D116" s="2" t="n"/>
    </row>
    <row r="117" ht="14.25" customHeight="1" s="46">
      <c r="A117" s="2" t="n"/>
      <c r="B117" s="2" t="n"/>
      <c r="C117" s="2" t="n"/>
      <c r="D117" s="2" t="n"/>
    </row>
    <row r="118" ht="14.25" customHeight="1" s="46">
      <c r="A118" s="2" t="n"/>
      <c r="B118" s="2" t="n"/>
      <c r="C118" s="2" t="n"/>
      <c r="D118" s="2" t="n"/>
    </row>
    <row r="119" ht="14.25" customHeight="1" s="46">
      <c r="A119" s="2" t="n"/>
      <c r="B119" s="2" t="n"/>
      <c r="C119" s="2" t="n"/>
      <c r="D119" s="2" t="n"/>
    </row>
    <row r="120" ht="14.25" customHeight="1" s="46">
      <c r="A120" s="2" t="n"/>
      <c r="B120" s="2" t="n"/>
      <c r="C120" s="2" t="n"/>
      <c r="D120" s="2" t="n"/>
    </row>
    <row r="121" ht="14.25" customHeight="1" s="46">
      <c r="A121" s="2" t="n"/>
      <c r="B121" s="2" t="n"/>
      <c r="C121" s="2" t="n"/>
      <c r="D121" s="2" t="n"/>
    </row>
    <row r="122" ht="14.25" customHeight="1" s="46">
      <c r="A122" s="2" t="n"/>
      <c r="B122" s="2" t="n"/>
      <c r="C122" s="2" t="n"/>
      <c r="D122" s="2" t="n"/>
    </row>
    <row r="123" ht="14.25" customHeight="1" s="46">
      <c r="A123" s="2" t="n"/>
      <c r="B123" s="2" t="n"/>
      <c r="C123" s="2" t="n"/>
      <c r="D123" s="2" t="n"/>
    </row>
    <row r="124" ht="14.25" customHeight="1" s="46">
      <c r="A124" s="2" t="n"/>
      <c r="B124" s="2" t="n"/>
      <c r="C124" s="2" t="n"/>
      <c r="D124" s="2" t="n"/>
    </row>
    <row r="125" ht="14.25" customHeight="1" s="46">
      <c r="A125" s="2" t="n"/>
      <c r="B125" s="2" t="n"/>
      <c r="C125" s="2" t="n"/>
      <c r="D125" s="2" t="n"/>
    </row>
    <row r="126" ht="14.25" customHeight="1" s="46">
      <c r="A126" s="2" t="n"/>
      <c r="B126" s="2" t="n"/>
      <c r="C126" s="2" t="n"/>
      <c r="D126" s="2" t="n"/>
    </row>
    <row r="127" ht="14.25" customHeight="1" s="46">
      <c r="A127" s="2" t="n"/>
      <c r="B127" s="2" t="n"/>
      <c r="C127" s="2" t="n"/>
      <c r="D127" s="2" t="n"/>
    </row>
    <row r="128" ht="14.25" customHeight="1" s="46">
      <c r="A128" s="2" t="n"/>
      <c r="B128" s="2" t="n"/>
      <c r="C128" s="2" t="n"/>
      <c r="D128" s="2" t="n"/>
    </row>
    <row r="129" ht="14.25" customHeight="1" s="46">
      <c r="A129" s="2" t="n"/>
      <c r="B129" s="2" t="n"/>
      <c r="C129" s="2" t="n"/>
      <c r="D129" s="2" t="n"/>
    </row>
    <row r="130" ht="14.25" customHeight="1" s="46">
      <c r="A130" s="2" t="n"/>
      <c r="B130" s="2" t="n"/>
      <c r="C130" s="2" t="n"/>
      <c r="D130" s="2" t="n"/>
    </row>
    <row r="131" ht="14.25" customHeight="1" s="46">
      <c r="A131" s="2" t="n"/>
      <c r="B131" s="2" t="n"/>
      <c r="C131" s="2" t="n"/>
      <c r="D131" s="2" t="n"/>
    </row>
    <row r="132" ht="14.25" customHeight="1" s="46">
      <c r="A132" s="2" t="n"/>
      <c r="B132" s="2" t="n"/>
      <c r="C132" s="2" t="n"/>
      <c r="D132" s="2" t="n"/>
    </row>
    <row r="133" ht="14.25" customHeight="1" s="46">
      <c r="A133" s="2" t="n"/>
      <c r="B133" s="2" t="n"/>
      <c r="C133" s="2" t="n"/>
      <c r="D133" s="2" t="n"/>
    </row>
    <row r="134" ht="14.25" customHeight="1" s="46">
      <c r="A134" s="2" t="n"/>
      <c r="B134" s="2" t="n"/>
      <c r="C134" s="2" t="n"/>
      <c r="D134" s="2" t="n"/>
    </row>
    <row r="135" ht="14.25" customHeight="1" s="46">
      <c r="A135" s="2" t="n"/>
      <c r="B135" s="2" t="n"/>
      <c r="C135" s="2" t="n"/>
      <c r="D135" s="2" t="n"/>
    </row>
    <row r="136" ht="14.25" customHeight="1" s="46">
      <c r="A136" s="2" t="n"/>
      <c r="B136" s="2" t="n"/>
      <c r="C136" s="2" t="n"/>
      <c r="D136" s="2" t="n"/>
    </row>
    <row r="137" ht="14.25" customHeight="1" s="46">
      <c r="A137" s="2" t="n"/>
      <c r="B137" s="2" t="n"/>
      <c r="C137" s="2" t="n"/>
      <c r="D137" s="2" t="n"/>
    </row>
    <row r="138" ht="14.25" customHeight="1" s="46">
      <c r="A138" s="2" t="n"/>
      <c r="B138" s="2" t="n"/>
      <c r="C138" s="2" t="n"/>
      <c r="D138" s="2" t="n"/>
    </row>
    <row r="139" ht="14.25" customHeight="1" s="46">
      <c r="A139" s="2" t="n"/>
      <c r="B139" s="2" t="n"/>
      <c r="C139" s="2" t="n"/>
      <c r="D139" s="2" t="n"/>
    </row>
    <row r="140" ht="14.25" customHeight="1" s="46">
      <c r="A140" s="2" t="n"/>
      <c r="B140" s="2" t="n"/>
      <c r="C140" s="2" t="n"/>
      <c r="D140" s="2" t="n"/>
    </row>
    <row r="141" ht="14.25" customHeight="1" s="46">
      <c r="A141" s="2" t="n"/>
      <c r="B141" s="2" t="n"/>
      <c r="C141" s="2" t="n"/>
      <c r="D141" s="2" t="n"/>
    </row>
    <row r="142" ht="14.25" customHeight="1" s="46">
      <c r="A142" s="2" t="n"/>
      <c r="B142" s="2" t="n"/>
      <c r="C142" s="2" t="n"/>
      <c r="D142" s="2" t="n"/>
    </row>
    <row r="143" ht="14.25" customHeight="1" s="46">
      <c r="A143" s="2" t="n"/>
      <c r="B143" s="2" t="n"/>
      <c r="C143" s="2" t="n"/>
      <c r="D143" s="2" t="n"/>
    </row>
    <row r="144" ht="14.25" customHeight="1" s="46">
      <c r="A144" s="2" t="n"/>
      <c r="B144" s="2" t="n"/>
      <c r="C144" s="2" t="n"/>
      <c r="D144" s="2" t="n"/>
    </row>
    <row r="145" ht="14.25" customHeight="1" s="46">
      <c r="A145" s="2" t="n"/>
      <c r="B145" s="2" t="n"/>
      <c r="C145" s="2" t="n"/>
      <c r="D145" s="2" t="n"/>
    </row>
    <row r="146" ht="14.25" customHeight="1" s="46">
      <c r="A146" s="2" t="n"/>
      <c r="B146" s="2" t="n"/>
      <c r="C146" s="2" t="n"/>
      <c r="D146" s="2" t="n"/>
    </row>
    <row r="147" ht="14.25" customHeight="1" s="46">
      <c r="A147" s="2" t="n"/>
      <c r="B147" s="2" t="n"/>
      <c r="C147" s="2" t="n"/>
      <c r="D147" s="2" t="n"/>
    </row>
    <row r="148" ht="14.25" customHeight="1" s="46">
      <c r="A148" s="2" t="n"/>
      <c r="B148" s="2" t="n"/>
      <c r="C148" s="2" t="n"/>
      <c r="D148" s="2" t="n"/>
    </row>
    <row r="149" ht="14.25" customHeight="1" s="46">
      <c r="A149" s="2" t="n"/>
      <c r="B149" s="2" t="n"/>
      <c r="C149" s="2" t="n"/>
      <c r="D149" s="2" t="n"/>
    </row>
    <row r="150" ht="14.25" customHeight="1" s="46">
      <c r="A150" s="2" t="n"/>
      <c r="B150" s="2" t="n"/>
      <c r="C150" s="2" t="n"/>
      <c r="D150" s="2" t="n"/>
    </row>
    <row r="151" ht="14.25" customHeight="1" s="46">
      <c r="A151" s="2" t="n"/>
      <c r="B151" s="2" t="n"/>
      <c r="C151" s="2" t="n"/>
      <c r="D151" s="2" t="n"/>
    </row>
    <row r="152" ht="14.25" customHeight="1" s="46">
      <c r="A152" s="2" t="n"/>
      <c r="B152" s="2" t="n"/>
      <c r="C152" s="2" t="n"/>
      <c r="D152" s="2" t="n"/>
    </row>
    <row r="153" ht="14.25" customHeight="1" s="46">
      <c r="A153" s="2" t="n"/>
      <c r="B153" s="2" t="n"/>
      <c r="C153" s="2" t="n"/>
      <c r="D153" s="2" t="n"/>
    </row>
    <row r="154" ht="14.25" customHeight="1" s="46">
      <c r="A154" s="2" t="n"/>
      <c r="B154" s="2" t="n"/>
      <c r="C154" s="2" t="n"/>
      <c r="D154" s="2" t="n"/>
    </row>
    <row r="155" ht="14.25" customHeight="1" s="46">
      <c r="A155" s="2" t="n"/>
      <c r="B155" s="2" t="n"/>
      <c r="C155" s="2" t="n"/>
      <c r="D155" s="2" t="n"/>
    </row>
    <row r="156" ht="14.25" customHeight="1" s="46">
      <c r="A156" s="2" t="n"/>
      <c r="B156" s="2" t="n"/>
      <c r="C156" s="2" t="n"/>
      <c r="D156" s="2" t="n"/>
    </row>
    <row r="157" ht="14.25" customHeight="1" s="46">
      <c r="A157" s="2" t="n"/>
      <c r="B157" s="2" t="n"/>
      <c r="C157" s="2" t="n"/>
      <c r="D157" s="2" t="n"/>
    </row>
    <row r="158" ht="14.25" customHeight="1" s="46">
      <c r="A158" s="2" t="n"/>
      <c r="B158" s="2" t="n"/>
      <c r="C158" s="2" t="n"/>
      <c r="D158" s="2" t="n"/>
    </row>
    <row r="159" ht="14.25" customHeight="1" s="46">
      <c r="A159" s="2" t="n"/>
      <c r="B159" s="2" t="n"/>
      <c r="C159" s="2" t="n"/>
      <c r="D159" s="2" t="n"/>
    </row>
    <row r="160" ht="14.25" customHeight="1" s="46">
      <c r="A160" s="2" t="n"/>
      <c r="B160" s="2" t="n"/>
      <c r="C160" s="2" t="n"/>
      <c r="D160" s="2" t="n"/>
    </row>
    <row r="161" ht="14.25" customHeight="1" s="46">
      <c r="A161" s="2" t="n"/>
      <c r="B161" s="2" t="n"/>
      <c r="C161" s="2" t="n"/>
      <c r="D161" s="2" t="n"/>
    </row>
    <row r="162" ht="14.25" customHeight="1" s="46">
      <c r="A162" s="2" t="n"/>
      <c r="B162" s="2" t="n"/>
      <c r="C162" s="2" t="n"/>
      <c r="D162" s="2" t="n"/>
    </row>
    <row r="163" ht="14.25" customHeight="1" s="46">
      <c r="A163" s="2" t="n"/>
      <c r="B163" s="2" t="n"/>
      <c r="C163" s="2" t="n"/>
      <c r="D163" s="2" t="n"/>
    </row>
    <row r="164" ht="14.25" customHeight="1" s="46">
      <c r="A164" s="2" t="n"/>
      <c r="B164" s="2" t="n"/>
      <c r="C164" s="2" t="n"/>
      <c r="D164" s="2" t="n"/>
    </row>
    <row r="165" ht="14.25" customHeight="1" s="46">
      <c r="A165" s="2" t="n"/>
      <c r="B165" s="2" t="n"/>
      <c r="C165" s="2" t="n"/>
      <c r="D165" s="2" t="n"/>
    </row>
    <row r="166" ht="14.25" customHeight="1" s="46">
      <c r="A166" s="2" t="n"/>
      <c r="B166" s="2" t="n"/>
      <c r="C166" s="2" t="n"/>
      <c r="D166" s="2" t="n"/>
    </row>
    <row r="167" ht="14.25" customHeight="1" s="46">
      <c r="A167" s="2" t="n"/>
      <c r="B167" s="2" t="n"/>
      <c r="C167" s="2" t="n"/>
      <c r="D167" s="2" t="n"/>
    </row>
    <row r="168" ht="14.25" customHeight="1" s="46">
      <c r="A168" s="2" t="n"/>
      <c r="B168" s="2" t="n"/>
      <c r="C168" s="2" t="n"/>
      <c r="D168" s="2" t="n"/>
    </row>
    <row r="169" ht="14.25" customHeight="1" s="46">
      <c r="A169" s="2" t="n"/>
      <c r="B169" s="2" t="n"/>
      <c r="C169" s="2" t="n"/>
      <c r="D169" s="2" t="n"/>
    </row>
    <row r="170" ht="14.25" customHeight="1" s="46">
      <c r="A170" s="2" t="n"/>
      <c r="B170" s="2" t="n"/>
      <c r="C170" s="2" t="n"/>
      <c r="D170" s="2" t="n"/>
    </row>
    <row r="171" ht="14.25" customHeight="1" s="46">
      <c r="A171" s="2" t="n"/>
      <c r="B171" s="2" t="n"/>
      <c r="C171" s="2" t="n"/>
      <c r="D171" s="2" t="n"/>
    </row>
    <row r="172" ht="14.25" customHeight="1" s="46">
      <c r="A172" s="2" t="n"/>
      <c r="B172" s="2" t="n"/>
      <c r="C172" s="2" t="n"/>
      <c r="D172" s="2" t="n"/>
    </row>
    <row r="173" ht="14.25" customHeight="1" s="46">
      <c r="A173" s="2" t="n"/>
      <c r="B173" s="2" t="n"/>
      <c r="C173" s="2" t="n"/>
      <c r="D173" s="2" t="n"/>
    </row>
    <row r="174" ht="14.25" customHeight="1" s="46">
      <c r="A174" s="2" t="n"/>
      <c r="B174" s="2" t="n"/>
      <c r="C174" s="2" t="n"/>
      <c r="D174" s="2" t="n"/>
    </row>
    <row r="175" ht="14.25" customHeight="1" s="46">
      <c r="A175" s="2" t="n"/>
      <c r="B175" s="2" t="n"/>
      <c r="C175" s="2" t="n"/>
      <c r="D175" s="2" t="n"/>
    </row>
    <row r="176" ht="14.25" customHeight="1" s="46">
      <c r="A176" s="2" t="n"/>
      <c r="B176" s="2" t="n"/>
      <c r="C176" s="2" t="n"/>
      <c r="D176" s="2" t="n"/>
    </row>
    <row r="177" ht="14.25" customHeight="1" s="46">
      <c r="A177" s="2" t="n"/>
      <c r="B177" s="2" t="n"/>
      <c r="C177" s="2" t="n"/>
      <c r="D177" s="2" t="n"/>
    </row>
    <row r="178" ht="14.25" customHeight="1" s="46">
      <c r="A178" s="2" t="n"/>
      <c r="B178" s="2" t="n"/>
      <c r="C178" s="2" t="n"/>
      <c r="D178" s="2" t="n"/>
    </row>
    <row r="179" ht="14.25" customHeight="1" s="46">
      <c r="A179" s="2" t="n"/>
      <c r="B179" s="2" t="n"/>
      <c r="C179" s="2" t="n"/>
      <c r="D179" s="2" t="n"/>
    </row>
    <row r="180" ht="14.25" customHeight="1" s="46">
      <c r="A180" s="2" t="n"/>
      <c r="B180" s="2" t="n"/>
      <c r="C180" s="2" t="n"/>
      <c r="D180" s="2" t="n"/>
    </row>
    <row r="181" ht="14.25" customHeight="1" s="46">
      <c r="A181" s="2" t="n"/>
      <c r="B181" s="2" t="n"/>
      <c r="C181" s="2" t="n"/>
      <c r="D181" s="2" t="n"/>
    </row>
    <row r="182" ht="14.25" customHeight="1" s="46">
      <c r="A182" s="2" t="n"/>
      <c r="B182" s="2" t="n"/>
      <c r="C182" s="2" t="n"/>
      <c r="D182" s="2" t="n"/>
    </row>
    <row r="183" ht="14.25" customHeight="1" s="46">
      <c r="A183" s="2" t="n"/>
      <c r="B183" s="2" t="n"/>
      <c r="C183" s="2" t="n"/>
      <c r="D183" s="2" t="n"/>
    </row>
    <row r="184" ht="14.25" customHeight="1" s="46">
      <c r="A184" s="2" t="n"/>
      <c r="B184" s="2" t="n"/>
      <c r="C184" s="2" t="n"/>
      <c r="D184" s="2" t="n"/>
    </row>
    <row r="185" ht="14.25" customHeight="1" s="46">
      <c r="A185" s="2" t="n"/>
      <c r="B185" s="2" t="n"/>
      <c r="C185" s="2" t="n"/>
      <c r="D185" s="2" t="n"/>
    </row>
    <row r="186" ht="14.25" customHeight="1" s="46">
      <c r="A186" s="2" t="n"/>
      <c r="B186" s="2" t="n"/>
      <c r="C186" s="2" t="n"/>
      <c r="D186" s="2" t="n"/>
    </row>
    <row r="187" ht="14.25" customHeight="1" s="46">
      <c r="A187" s="2" t="n"/>
      <c r="B187" s="2" t="n"/>
      <c r="C187" s="2" t="n"/>
      <c r="D187" s="2" t="n"/>
    </row>
    <row r="188" ht="14.25" customHeight="1" s="46">
      <c r="A188" s="2" t="n"/>
      <c r="B188" s="2" t="n"/>
      <c r="C188" s="2" t="n"/>
      <c r="D188" s="2" t="n"/>
    </row>
    <row r="189" ht="14.25" customHeight="1" s="46">
      <c r="A189" s="2" t="n"/>
      <c r="B189" s="2" t="n"/>
      <c r="C189" s="2" t="n"/>
      <c r="D189" s="2" t="n"/>
    </row>
    <row r="190" ht="14.25" customHeight="1" s="46">
      <c r="A190" s="2" t="n"/>
      <c r="B190" s="2" t="n"/>
      <c r="C190" s="2" t="n"/>
      <c r="D190" s="2" t="n"/>
    </row>
    <row r="191" ht="14.25" customHeight="1" s="46">
      <c r="A191" s="2" t="n"/>
      <c r="B191" s="2" t="n"/>
      <c r="C191" s="2" t="n"/>
      <c r="D191" s="2" t="n"/>
    </row>
    <row r="192" ht="14.25" customHeight="1" s="46">
      <c r="A192" s="2" t="n"/>
      <c r="B192" s="2" t="n"/>
      <c r="C192" s="2" t="n"/>
      <c r="D192" s="2" t="n"/>
    </row>
    <row r="193" ht="14.25" customHeight="1" s="46">
      <c r="A193" s="2" t="n"/>
      <c r="B193" s="2" t="n"/>
      <c r="C193" s="2" t="n"/>
      <c r="D193" s="2" t="n"/>
    </row>
    <row r="194" ht="14.25" customHeight="1" s="46">
      <c r="A194" s="2" t="n"/>
      <c r="B194" s="2" t="n"/>
      <c r="C194" s="2" t="n"/>
      <c r="D194" s="2" t="n"/>
    </row>
    <row r="195" ht="14.25" customHeight="1" s="46">
      <c r="A195" s="2" t="n"/>
      <c r="B195" s="2" t="n"/>
      <c r="C195" s="2" t="n"/>
      <c r="D195" s="2" t="n"/>
    </row>
    <row r="196" ht="14.25" customHeight="1" s="46">
      <c r="A196" s="2" t="n"/>
      <c r="B196" s="2" t="n"/>
      <c r="C196" s="2" t="n"/>
      <c r="D196" s="2" t="n"/>
    </row>
    <row r="197" ht="14.25" customHeight="1" s="46">
      <c r="A197" s="2" t="n"/>
      <c r="B197" s="2" t="n"/>
      <c r="C197" s="2" t="n"/>
      <c r="D197" s="2" t="n"/>
    </row>
    <row r="198" ht="14.25" customHeight="1" s="46">
      <c r="A198" s="2" t="n"/>
      <c r="B198" s="2" t="n"/>
      <c r="C198" s="2" t="n"/>
      <c r="D198" s="2" t="n"/>
    </row>
    <row r="199" ht="14.25" customHeight="1" s="46">
      <c r="A199" s="2" t="n"/>
      <c r="B199" s="2" t="n"/>
      <c r="C199" s="2" t="n"/>
      <c r="D199" s="2" t="n"/>
    </row>
    <row r="200" ht="14.25" customHeight="1" s="46">
      <c r="A200" s="2" t="n"/>
      <c r="B200" s="2" t="n"/>
      <c r="C200" s="2" t="n"/>
      <c r="D200" s="2" t="n"/>
    </row>
    <row r="201" ht="14.25" customHeight="1" s="46">
      <c r="A201" s="2" t="n"/>
      <c r="B201" s="2" t="n"/>
      <c r="C201" s="2" t="n"/>
      <c r="D201" s="2" t="n"/>
    </row>
    <row r="202" ht="14.25" customHeight="1" s="46">
      <c r="A202" s="2" t="n"/>
      <c r="B202" s="2" t="n"/>
      <c r="C202" s="2" t="n"/>
      <c r="D202" s="2" t="n"/>
    </row>
    <row r="203" ht="14.25" customHeight="1" s="46">
      <c r="A203" s="2" t="n"/>
      <c r="B203" s="2" t="n"/>
      <c r="C203" s="2" t="n"/>
      <c r="D203" s="2" t="n"/>
    </row>
    <row r="204" ht="14.25" customHeight="1" s="46">
      <c r="A204" s="2" t="n"/>
      <c r="B204" s="2" t="n"/>
      <c r="C204" s="2" t="n"/>
      <c r="D204" s="2" t="n"/>
    </row>
    <row r="205" ht="14.25" customHeight="1" s="46">
      <c r="A205" s="2" t="n"/>
      <c r="B205" s="2" t="n"/>
      <c r="C205" s="2" t="n"/>
      <c r="D205" s="2" t="n"/>
    </row>
    <row r="206" ht="14.25" customHeight="1" s="46">
      <c r="A206" s="2" t="n"/>
      <c r="B206" s="2" t="n"/>
      <c r="C206" s="2" t="n"/>
      <c r="D206" s="2" t="n"/>
    </row>
    <row r="207" ht="14.25" customHeight="1" s="46">
      <c r="A207" s="2" t="n"/>
      <c r="B207" s="2" t="n"/>
      <c r="C207" s="2" t="n"/>
      <c r="D207" s="2" t="n"/>
    </row>
    <row r="208" ht="14.25" customHeight="1" s="46">
      <c r="A208" s="2" t="n"/>
      <c r="B208" s="2" t="n"/>
      <c r="C208" s="2" t="n"/>
      <c r="D208" s="2" t="n"/>
    </row>
    <row r="209" ht="14.25" customHeight="1" s="46">
      <c r="A209" s="2" t="n"/>
      <c r="B209" s="2" t="n"/>
      <c r="C209" s="2" t="n"/>
      <c r="D209" s="2" t="n"/>
    </row>
    <row r="210" ht="14.25" customHeight="1" s="46">
      <c r="A210" s="2" t="n"/>
      <c r="B210" s="2" t="n"/>
      <c r="C210" s="2" t="n"/>
      <c r="D210" s="2" t="n"/>
    </row>
    <row r="211" ht="14.25" customHeight="1" s="46">
      <c r="A211" s="2" t="n"/>
      <c r="B211" s="2" t="n"/>
      <c r="C211" s="2" t="n"/>
      <c r="D211" s="2" t="n"/>
    </row>
    <row r="212" ht="14.25" customHeight="1" s="46">
      <c r="A212" s="2" t="n"/>
      <c r="B212" s="2" t="n"/>
      <c r="C212" s="2" t="n"/>
      <c r="D212" s="2" t="n"/>
    </row>
    <row r="213" ht="14.25" customHeight="1" s="46">
      <c r="A213" s="2" t="n"/>
      <c r="B213" s="2" t="n"/>
      <c r="C213" s="2" t="n"/>
      <c r="D213" s="2" t="n"/>
    </row>
    <row r="214" ht="14.25" customHeight="1" s="46">
      <c r="A214" s="2" t="n"/>
      <c r="B214" s="2" t="n"/>
      <c r="C214" s="2" t="n"/>
      <c r="D214" s="2" t="n"/>
    </row>
    <row r="215" ht="14.25" customHeight="1" s="46">
      <c r="A215" s="2" t="n"/>
      <c r="B215" s="2" t="n"/>
      <c r="C215" s="2" t="n"/>
      <c r="D215" s="2" t="n"/>
    </row>
    <row r="216" ht="14.25" customHeight="1" s="46">
      <c r="A216" s="2" t="n"/>
      <c r="B216" s="2" t="n"/>
      <c r="C216" s="2" t="n"/>
      <c r="D216" s="2" t="n"/>
    </row>
    <row r="217" ht="14.25" customHeight="1" s="46">
      <c r="A217" s="2" t="n"/>
      <c r="B217" s="2" t="n"/>
      <c r="C217" s="2" t="n"/>
      <c r="D217" s="2" t="n"/>
    </row>
    <row r="218" ht="14.25" customHeight="1" s="46">
      <c r="A218" s="2" t="n"/>
      <c r="B218" s="2" t="n"/>
      <c r="C218" s="2" t="n"/>
      <c r="D218" s="2" t="n"/>
    </row>
    <row r="219" ht="14.25" customHeight="1" s="46">
      <c r="A219" s="2" t="n"/>
      <c r="B219" s="2" t="n"/>
      <c r="C219" s="2" t="n"/>
      <c r="D219" s="2" t="n"/>
    </row>
    <row r="220" ht="14.25" customHeight="1" s="46">
      <c r="A220" s="2" t="n"/>
      <c r="B220" s="2" t="n"/>
      <c r="C220" s="2" t="n"/>
      <c r="D220" s="2" t="n"/>
    </row>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2026-10-20T13:25:11Z</dcterms:created>
  <dcterms:modified xmlns:dcterms="http://purl.org/dc/terms/" xmlns:xsi="http://www.w3.org/2001/XMLSchema-instance" xsi:type="dcterms:W3CDTF">2026-10-21T03:00:56Z</dcterms:modified>
</cp:coreProperties>
</file>